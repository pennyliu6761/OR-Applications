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XbarR管制圖_彈殼直徑" sheetId="2" state="visible" r:id="rId4"/>
    <sheet name="02_製程能力分析" sheetId="3" state="visible" r:id="rId5"/>
    <sheet name="03_p圖_彈殼不良率" sheetId="4" state="visible" r:id="rId6"/>
    <sheet name="04_c圖_雷達殼體缺點數" sheetId="5" state="visible" r:id="rId7"/>
    <sheet name="05_練習1_槳距角度" sheetId="6" state="visible" r:id="rId8"/>
    <sheet name="06_練習2_銲接不良率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<sst xmlns="http://schemas.openxmlformats.org/spreadsheetml/2006/main" count="107" uniqueCount="83">
  <si>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4</t>
    </r>
    <r>
      <rPr>
        <b val="true"/>
        <sz val="14"/>
        <rFont val="Noto Sans CJK SC"/>
        <family val="2"/>
      </rPr>
      <t xml:space="preserve">週 </t>
    </r>
    <r>
      <rPr>
        <b val="true"/>
        <sz val="14"/>
        <rFont val="Arial"/>
        <family val="0"/>
        <charset val="1"/>
      </rPr>
      <t xml:space="preserve">SPC — </t>
    </r>
    <r>
      <rPr>
        <b val="true"/>
        <sz val="14"/>
        <rFont val="Noto Sans CJK SC"/>
        <family val="2"/>
      </rPr>
      <t xml:space="preserve">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</si>
  <si>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</si>
  <si>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</si>
  <si>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</si>
  <si>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摘要</t>
  </si>
  <si>
    <r>
      <rPr>
        <sz val="11"/>
        <color theme="1"/>
        <rFont val="Noto Sans CJK SC"/>
        <family val="2"/>
      </rPr>
      <t xml:space="preserve">彈殼直徑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Noto Sans CJK SC"/>
        <family val="2"/>
      </rPr>
      <t xml:space="preserve">子群</t>
    </r>
    <r>
      <rPr>
        <sz val="11"/>
        <color theme="1"/>
        <rFont val="Calibri"/>
        <family val="2"/>
        <charset val="1"/>
      </rPr>
      <t xml:space="preserve">×5,n=5)</t>
    </r>
  </si>
  <si>
    <r>
      <rPr>
        <sz val="11"/>
        <color theme="1"/>
        <rFont val="Calibri"/>
        <family val="2"/>
        <charset val="1"/>
      </rPr>
      <t xml:space="preserve">X̄-R</t>
    </r>
    <r>
      <rPr>
        <sz val="11"/>
        <color theme="1"/>
        <rFont val="Noto Sans CJK SC"/>
        <family val="2"/>
      </rPr>
      <t xml:space="preserve">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製程能力主範例</t>
    </r>
  </si>
  <si>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10.00mm,</t>
    </r>
    <r>
      <rPr>
        <sz val="11"/>
        <color theme="1"/>
        <rFont val="Noto Sans CJK SC"/>
        <family val="2"/>
      </rPr>
      <t xml:space="preserve">規格</t>
    </r>
    <r>
      <rPr>
        <sz val="11"/>
        <color theme="1"/>
        <rFont val="Calibri"/>
        <family val="2"/>
        <charset val="1"/>
      </rPr>
      <t xml:space="preserve">10.00±0.06mm,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18-20</t>
    </r>
    <r>
      <rPr>
        <sz val="11"/>
        <color theme="1"/>
        <rFont val="Noto Sans CJK SC"/>
        <family val="2"/>
      </rPr>
      <t xml:space="preserve">子群偏移</t>
    </r>
  </si>
  <si>
    <r>
      <rPr>
        <sz val="11"/>
        <color theme="1"/>
        <rFont val="Noto Sans CJK SC"/>
        <family val="2"/>
      </rPr>
      <t xml:space="preserve">彈殼外觀不良率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Noto Sans CJK SC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,n=200)</t>
    </r>
  </si>
  <si>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圖主範例</t>
    </r>
  </si>
  <si>
    <r>
      <rPr>
        <sz val="11"/>
        <color theme="1"/>
        <rFont val="Calibri"/>
        <family val="2"/>
        <charset val="1"/>
      </rPr>
      <t xml:space="preserve">p̄=0.0323,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天異常</t>
    </r>
  </si>
  <si>
    <r>
      <rPr>
        <sz val="11"/>
        <color theme="1"/>
        <rFont val="Noto Sans CJK SC"/>
        <family val="2"/>
      </rPr>
      <t xml:space="preserve">雷達殼體缺點數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Noto Sans CJK SC"/>
        <family val="2"/>
      </rPr>
      <t xml:space="preserve">件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</si>
  <si>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圖主範例</t>
    </r>
  </si>
  <si>
    <r>
      <rPr>
        <sz val="11"/>
        <color theme="1"/>
        <rFont val="Calibri"/>
        <family val="2"/>
        <charset val="1"/>
      </rPr>
      <t xml:space="preserve">c̄=3.25,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件異常</t>
    </r>
  </si>
  <si>
    <r>
      <rPr>
        <sz val="11"/>
        <color theme="1"/>
        <rFont val="Noto Sans CJK SC"/>
        <family val="2"/>
      </rPr>
      <t xml:space="preserve">無人機槳距角度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Noto Sans CJK SC"/>
        <family val="2"/>
      </rPr>
      <t xml:space="preserve">子群</t>
    </r>
    <r>
      <rPr>
        <sz val="11"/>
        <color theme="1"/>
        <rFont val="Calibri"/>
        <family val="2"/>
        <charset val="1"/>
      </rPr>
      <t xml:space="preserve">×4,n=4)</t>
    </r>
  </si>
  <si>
    <t xml:space="preserve">延伸練習一</t>
  </si>
  <si>
    <r>
      <rPr>
        <sz val="11"/>
        <color theme="1"/>
        <rFont val="Noto Sans CJK SC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15.0</t>
    </r>
    <r>
      <rPr>
        <sz val="11"/>
        <color theme="1"/>
        <rFont val="Noto Sans CJK SC"/>
        <family val="2"/>
      </rPr>
      <t xml:space="preserve">度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10,12</t>
    </r>
    <r>
      <rPr>
        <sz val="11"/>
        <color theme="1"/>
        <rFont val="Noto Sans CJK SC"/>
        <family val="2"/>
      </rPr>
      <t xml:space="preserve">子群偏移</t>
    </r>
  </si>
  <si>
    <r>
      <rPr>
        <sz val="11"/>
        <color theme="1"/>
        <rFont val="Noto Sans CJK SC"/>
        <family val="2"/>
      </rPr>
      <t xml:space="preserve">電路板銲接不良率</t>
    </r>
    <r>
      <rPr>
        <sz val="11"/>
        <color theme="1"/>
        <rFont val="Calibri"/>
        <family val="2"/>
        <charset val="1"/>
      </rPr>
      <t xml:space="preserve">(15</t>
    </r>
    <r>
      <rPr>
        <sz val="11"/>
        <color theme="1"/>
        <rFont val="Noto Sans CJK SC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,n=150)</t>
    </r>
  </si>
  <si>
    <t xml:space="preserve">延伸練習二</t>
  </si>
  <si>
    <r>
      <rPr>
        <sz val="11"/>
        <color theme="1"/>
        <rFont val="Calibri"/>
        <family val="2"/>
        <charset val="1"/>
      </rPr>
      <t xml:space="preserve">p̄=0.0280,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天異常</t>
    </r>
  </si>
  <si>
    <r>
      <rPr>
        <b val="true"/>
        <sz val="14"/>
        <rFont val="Noto Sans CJK SC"/>
        <family val="2"/>
      </rPr>
      <t xml:space="preserve">示範一：</t>
    </r>
    <r>
      <rPr>
        <b val="true"/>
        <sz val="14"/>
        <rFont val="Arial"/>
        <family val="0"/>
        <charset val="1"/>
      </rPr>
      <t xml:space="preserve">X̄-R </t>
    </r>
    <r>
      <rPr>
        <b val="true"/>
        <sz val="14"/>
        <rFont val="Noto Sans CJK SC"/>
        <family val="2"/>
      </rPr>
      <t xml:space="preserve">動態管制圖（彈殼直徑，含判異準則規則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）</t>
    </r>
  </si>
  <si>
    <r>
      <rPr>
        <b val="true"/>
        <sz val="11"/>
        <color rgb="FF000000"/>
        <rFont val="Arial"/>
        <family val="0"/>
        <charset val="1"/>
      </rPr>
      <t xml:space="preserve">X</t>
    </r>
    <r>
      <rPr>
        <b val="true"/>
        <sz val="11"/>
        <color rgb="FF000000"/>
        <rFont val="Noto Sans CJK SC"/>
        <family val="2"/>
      </rPr>
      <t xml:space="preserve">雙槓</t>
    </r>
    <r>
      <rPr>
        <b val="true"/>
        <sz val="11"/>
        <color rgb="FF000000"/>
        <rFont val="Arial"/>
        <family val="0"/>
        <charset val="1"/>
      </rPr>
      <t xml:space="preserve">(CL)</t>
    </r>
  </si>
  <si>
    <t xml:space="preserve">UCL(X̄)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</si>
  <si>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H/I</t>
    </r>
    <r>
      <rPr>
        <i val="true"/>
        <sz val="9"/>
        <color rgb="FF666666"/>
        <rFont val="Noto Sans CJK SC"/>
        <family val="2"/>
      </rPr>
      <t xml:space="preserve">欄為子群</t>
    </r>
    <r>
      <rPr>
        <i val="true"/>
        <sz val="9"/>
        <color rgb="FF666666"/>
        <rFont val="Arial"/>
        <family val="0"/>
        <charset val="1"/>
      </rPr>
      <t xml:space="preserve">X̄/R</t>
    </r>
    <r>
      <rPr>
        <i val="true"/>
        <sz val="9"/>
        <color rgb="FF666666"/>
        <rFont val="Noto Sans CJK SC"/>
        <family val="2"/>
      </rPr>
      <t xml:space="preserve">；</t>
    </r>
    <r>
      <rPr>
        <i val="true"/>
        <sz val="9"/>
        <color rgb="FF666666"/>
        <rFont val="Arial"/>
        <family val="0"/>
        <charset val="1"/>
      </rPr>
      <t xml:space="preserve">K</t>
    </r>
    <r>
      <rPr>
        <i val="true"/>
        <sz val="9"/>
        <color rgb="FF666666"/>
        <rFont val="Noto Sans CJK SC"/>
        <family val="2"/>
      </rPr>
      <t xml:space="preserve">欄為常數與管制界限；</t>
    </r>
    <r>
      <rPr>
        <i val="true"/>
        <sz val="9"/>
        <color rgb="FF666666"/>
        <rFont val="Arial"/>
        <family val="0"/>
        <charset val="1"/>
      </rPr>
      <t xml:space="preserve">J</t>
    </r>
    <r>
      <rPr>
        <i val="true"/>
        <sz val="9"/>
        <color rgb="FF666666"/>
        <rFont val="Noto Sans CJK SC"/>
        <family val="2"/>
      </rPr>
      <t xml:space="preserve">欄自動標示違反規則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（超出管制界限）之子群。</t>
    </r>
  </si>
  <si>
    <r>
      <rPr>
        <b val="true"/>
        <sz val="11"/>
        <color rgb="FF000000"/>
        <rFont val="Arial"/>
        <family val="0"/>
        <charset val="1"/>
      </rPr>
      <t xml:space="preserve">R</t>
    </r>
    <r>
      <rPr>
        <b val="true"/>
        <sz val="11"/>
        <color rgb="FF000000"/>
        <rFont val="Noto Sans CJK SC"/>
        <family val="2"/>
      </rPr>
      <t xml:space="preserve">槓</t>
    </r>
    <r>
      <rPr>
        <b val="true"/>
        <sz val="11"/>
        <color rgb="FF000000"/>
        <rFont val="Arial"/>
        <family val="0"/>
        <charset val="1"/>
      </rPr>
      <t xml:space="preserve">(CL)</t>
    </r>
  </si>
  <si>
    <t xml:space="preserve">LCL(X̄)</t>
  </si>
  <si>
    <t xml:space="preserve">A2(n=5)</t>
  </si>
  <si>
    <t xml:space="preserve">UCL(R)</t>
  </si>
  <si>
    <t xml:space="preserve">子群</t>
  </si>
  <si>
    <r>
      <rPr>
        <b val="true"/>
        <sz val="11"/>
        <color rgb="FFFFFFFF"/>
        <rFont val="Noto Sans CJK SC"/>
        <family val="2"/>
      </rPr>
      <t xml:space="preserve">量測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</si>
  <si>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量測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</si>
  <si>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量測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</si>
  <si>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量測</t>
    </r>
    <r>
      <rPr>
        <b val="true"/>
        <sz val="11"/>
        <color rgb="FFFFFFFF"/>
        <rFont val="Arial"/>
        <family val="0"/>
        <charset val="1"/>
      </rPr>
      <t xml:space="preserve">4</t>
    </r>
  </si>
  <si>
    <r>
      <rPr>
        <b val="true"/>
        <sz val="11"/>
        <color rgb="FFFFFFFF"/>
        <rFont val="Noto Sans CJK SC"/>
        <family val="2"/>
      </rPr>
      <t xml:space="preserve">量測</t>
    </r>
    <r>
      <rPr>
        <b val="true"/>
        <sz val="11"/>
        <color rgb="FFFFFFFF"/>
        <rFont val="Arial"/>
        <family val="0"/>
        <charset val="1"/>
      </rPr>
      <t xml:space="preserve">5</t>
    </r>
  </si>
  <si>
    <t xml:space="preserve">X̄</t>
  </si>
  <si>
    <t xml:space="preserve">R</t>
  </si>
  <si>
    <r>
      <rPr>
        <b val="true"/>
        <sz val="11"/>
        <color rgb="FFFFFFFF"/>
        <rFont val="Noto Sans CJK SC"/>
        <family val="2"/>
      </rPr>
      <t xml:space="preserve">規則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判異</t>
    </r>
  </si>
  <si>
    <t xml:space="preserve">D3(n=5)</t>
  </si>
  <si>
    <t xml:space="preserve">LCL(R)</t>
  </si>
  <si>
    <r>
      <rPr>
        <b val="true"/>
        <sz val="11"/>
        <color rgb="FFFFFFFF"/>
        <rFont val="Arial"/>
        <family val="0"/>
        <charset val="1"/>
      </rPr>
      <t xml:space="preserve">CL</t>
    </r>
    <r>
      <rPr>
        <b val="true"/>
        <sz val="11"/>
        <color rgb="FFFFFFFF"/>
        <rFont val="Noto Sans CJK SC"/>
        <family val="2"/>
      </rPr>
      <t xml:space="preserve">線</t>
    </r>
  </si>
  <si>
    <r>
      <rPr>
        <b val="true"/>
        <sz val="11"/>
        <color rgb="FFFFFFFF"/>
        <rFont val="Arial"/>
        <family val="0"/>
        <charset val="1"/>
      </rPr>
      <t xml:space="preserve">UCL</t>
    </r>
    <r>
      <rPr>
        <b val="true"/>
        <sz val="11"/>
        <color rgb="FFFFFFFF"/>
        <rFont val="Noto Sans CJK SC"/>
        <family val="2"/>
      </rPr>
      <t xml:space="preserve">線</t>
    </r>
  </si>
  <si>
    <r>
      <rPr>
        <b val="true"/>
        <sz val="11"/>
        <color rgb="FFFFFFFF"/>
        <rFont val="Arial"/>
        <family val="0"/>
        <charset val="1"/>
      </rPr>
      <t xml:space="preserve">LCL</t>
    </r>
    <r>
      <rPr>
        <b val="true"/>
        <sz val="11"/>
        <color rgb="FFFFFFFF"/>
        <rFont val="Noto Sans CJK SC"/>
        <family val="2"/>
      </rPr>
      <t xml:space="preserve">線</t>
    </r>
  </si>
  <si>
    <t xml:space="preserve">D4(n=5)</t>
  </si>
  <si>
    <t xml:space="preserve">示範二：製程能力分析計算表（彈殼直徑）</t>
  </si>
  <si>
    <r>
      <rPr>
        <i val="true"/>
        <sz val="9"/>
        <color rgb="FF666666"/>
        <rFont val="Noto Sans CJK SC"/>
        <family val="2"/>
      </rPr>
      <t xml:space="preserve">說明：延續示範一之</t>
    </r>
    <r>
      <rPr>
        <i val="true"/>
        <sz val="9"/>
        <color rgb="FF666666"/>
        <rFont val="Arial"/>
        <family val="0"/>
        <charset val="1"/>
      </rPr>
      <t xml:space="preserve">X̄/R</t>
    </r>
    <r>
      <rPr>
        <i val="true"/>
        <sz val="9"/>
        <color rgb="FF666666"/>
        <rFont val="Noto Sans CJK SC"/>
        <family val="2"/>
      </rPr>
      <t xml:space="preserve">資料，計算</t>
    </r>
    <r>
      <rPr>
        <i val="true"/>
        <sz val="9"/>
        <color rgb="FF666666"/>
        <rFont val="Arial"/>
        <family val="0"/>
        <charset val="1"/>
      </rPr>
      <t xml:space="preserve">Cp/Cpk</t>
    </r>
    <r>
      <rPr>
        <i val="true"/>
        <sz val="9"/>
        <color rgb="FF666666"/>
        <rFont val="Noto Sans CJK SC"/>
        <family val="2"/>
      </rPr>
      <t xml:space="preserve">（組內變異）與</t>
    </r>
    <r>
      <rPr>
        <i val="true"/>
        <sz val="9"/>
        <color rgb="FF666666"/>
        <rFont val="Arial"/>
        <family val="0"/>
        <charset val="1"/>
      </rPr>
      <t xml:space="preserve">Pp/Ppk</t>
    </r>
    <r>
      <rPr>
        <i val="true"/>
        <sz val="9"/>
        <color rgb="FF666666"/>
        <rFont val="Noto Sans CJK SC"/>
        <family val="2"/>
      </rPr>
      <t xml:space="preserve">（整體變異）。</t>
    </r>
  </si>
  <si>
    <t xml:space="preserve">USL</t>
  </si>
  <si>
    <t xml:space="preserve">LSL</t>
  </si>
  <si>
    <r>
      <rPr>
        <b val="true"/>
        <sz val="11"/>
        <color rgb="FF000000"/>
        <rFont val="Arial"/>
        <family val="0"/>
        <charset val="1"/>
      </rPr>
      <t xml:space="preserve">X</t>
    </r>
    <r>
      <rPr>
        <b val="true"/>
        <sz val="11"/>
        <color rgb="FF000000"/>
        <rFont val="Noto Sans CJK SC"/>
        <family val="2"/>
      </rPr>
      <t xml:space="preserve">雙槓</t>
    </r>
  </si>
  <si>
    <r>
      <rPr>
        <b val="true"/>
        <sz val="11"/>
        <color rgb="FF000000"/>
        <rFont val="Arial"/>
        <family val="0"/>
        <charset val="1"/>
      </rPr>
      <t xml:space="preserve">R</t>
    </r>
    <r>
      <rPr>
        <b val="true"/>
        <sz val="11"/>
        <color rgb="FF000000"/>
        <rFont val="Noto Sans CJK SC"/>
        <family val="2"/>
      </rPr>
      <t xml:space="preserve">槓</t>
    </r>
  </si>
  <si>
    <t xml:space="preserve">d2(n=5)</t>
  </si>
  <si>
    <t xml:space="preserve">sigma_within (Rbar/d2)</t>
  </si>
  <si>
    <t xml:space="preserve">Cp</t>
  </si>
  <si>
    <t xml:space="preserve">Cpu</t>
  </si>
  <si>
    <t xml:space="preserve">Cpl</t>
  </si>
  <si>
    <t xml:space="preserve">Cpk</t>
  </si>
  <si>
    <r>
      <rPr>
        <b val="true"/>
        <sz val="11"/>
        <color rgb="FF000000"/>
        <rFont val="Arial"/>
        <family val="0"/>
        <charset val="1"/>
      </rPr>
      <t xml:space="preserve">sigma_overall (</t>
    </r>
    <r>
      <rPr>
        <b val="true"/>
        <sz val="11"/>
        <color rgb="FF000000"/>
        <rFont val="Noto Sans CJK SC"/>
        <family val="2"/>
      </rPr>
      <t xml:space="preserve">全部個別值之樣本標準差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</si>
  <si>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Pp</t>
  </si>
  <si>
    <t xml:space="preserve">Ppu</t>
  </si>
  <si>
    <t xml:space="preserve">Ppl</t>
  </si>
  <si>
    <t xml:space="preserve">Ppk</t>
  </si>
  <si>
    <r>
      <rPr>
        <b val="true"/>
        <sz val="11"/>
        <color rgb="FF000000"/>
        <rFont val="Arial"/>
        <family val="0"/>
        <charset val="1"/>
      </rPr>
      <t xml:space="preserve">Cpk</t>
    </r>
    <r>
      <rPr>
        <b val="true"/>
        <sz val="11"/>
        <color rgb="FF000000"/>
        <rFont val="Noto Sans CJK SC"/>
        <family val="2"/>
      </rPr>
      <t xml:space="preserve">判讀</t>
    </r>
  </si>
  <si>
    <r>
      <rPr>
        <b val="true"/>
        <sz val="14"/>
        <rFont val="Noto Sans CJK SC"/>
        <family val="2"/>
      </rPr>
      <t xml:space="preserve">示範三：</t>
    </r>
    <r>
      <rPr>
        <b val="true"/>
        <sz val="14"/>
        <rFont val="Arial"/>
        <family val="0"/>
        <charset val="1"/>
      </rPr>
      <t xml:space="preserve">p </t>
    </r>
    <r>
      <rPr>
        <b val="true"/>
        <sz val="14"/>
        <rFont val="Noto Sans CJK SC"/>
        <family val="2"/>
      </rPr>
      <t xml:space="preserve">圖（彈殼外觀不良率）</t>
    </r>
  </si>
  <si>
    <t xml:space="preserve">違異標示</t>
  </si>
  <si>
    <r>
      <rPr>
        <b val="true"/>
        <sz val="11"/>
        <color rgb="FF000000"/>
        <rFont val="Arial"/>
        <family val="0"/>
        <charset val="1"/>
      </rPr>
      <t xml:space="preserve">p</t>
    </r>
    <r>
      <rPr>
        <b val="true"/>
        <sz val="11"/>
        <color rgb="FF000000"/>
        <rFont val="Noto Sans CJK SC"/>
        <family val="2"/>
      </rPr>
      <t xml:space="preserve">槓</t>
    </r>
  </si>
  <si>
    <r>
      <rPr>
        <i val="true"/>
        <sz val="9"/>
        <color rgb="FF666666"/>
        <rFont val="Noto Sans CJK SC"/>
        <family val="2"/>
      </rPr>
      <t xml:space="preserve">說明：每日抽驗</t>
    </r>
    <r>
      <rPr>
        <i val="true"/>
        <sz val="9"/>
        <color rgb="FF666666"/>
        <rFont val="Arial"/>
        <family val="0"/>
        <charset val="1"/>
      </rPr>
      <t xml:space="preserve">200</t>
    </r>
    <r>
      <rPr>
        <i val="true"/>
        <sz val="9"/>
        <color rgb="FF666666"/>
        <rFont val="Noto Sans CJK SC"/>
        <family val="2"/>
      </rPr>
      <t xml:space="preserve">發，</t>
    </r>
    <r>
      <rPr>
        <i val="true"/>
        <sz val="9"/>
        <color rgb="FF666666"/>
        <rFont val="Arial"/>
        <family val="0"/>
        <charset val="1"/>
      </rPr>
      <t xml:space="preserve">C</t>
    </r>
    <r>
      <rPr>
        <i val="true"/>
        <sz val="9"/>
        <color rgb="FF666666"/>
        <rFont val="Noto Sans CJK SC"/>
        <family val="2"/>
      </rPr>
      <t xml:space="preserve">欄為不良品數，</t>
    </r>
    <r>
      <rPr>
        <i val="true"/>
        <sz val="9"/>
        <color rgb="FF666666"/>
        <rFont val="Arial"/>
        <family val="0"/>
        <charset val="1"/>
      </rPr>
      <t xml:space="preserve">D</t>
    </r>
    <r>
      <rPr>
        <i val="true"/>
        <sz val="9"/>
        <color rgb="FF666666"/>
        <rFont val="Noto Sans CJK SC"/>
        <family val="2"/>
      </rPr>
      <t xml:space="preserve">欄自動計算不良率</t>
    </r>
    <r>
      <rPr>
        <i val="true"/>
        <sz val="9"/>
        <color rgb="FF666666"/>
        <rFont val="Arial"/>
        <family val="0"/>
        <charset val="1"/>
      </rPr>
      <t xml:space="preserve">p</t>
    </r>
    <r>
      <rPr>
        <i val="true"/>
        <sz val="9"/>
        <color rgb="FF666666"/>
        <rFont val="Noto Sans CJK SC"/>
        <family val="2"/>
      </rPr>
      <t xml:space="preserve">。</t>
    </r>
  </si>
  <si>
    <t xml:space="preserve">UCL</t>
  </si>
  <si>
    <t xml:space="preserve">LCL</t>
  </si>
  <si>
    <t xml:space="preserve">日</t>
  </si>
  <si>
    <t xml:space="preserve">檢驗數量</t>
  </si>
  <si>
    <t xml:space="preserve">不良品數</t>
  </si>
  <si>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p</t>
    </r>
  </si>
  <si>
    <r>
      <rPr>
        <b val="true"/>
        <sz val="14"/>
        <rFont val="Noto Sans CJK SC"/>
        <family val="2"/>
      </rPr>
      <t xml:space="preserve">示範四：</t>
    </r>
    <r>
      <rPr>
        <b val="true"/>
        <sz val="14"/>
        <rFont val="Arial"/>
        <family val="0"/>
        <charset val="1"/>
      </rPr>
      <t xml:space="preserve">c </t>
    </r>
    <r>
      <rPr>
        <b val="true"/>
        <sz val="14"/>
        <rFont val="Noto Sans CJK SC"/>
        <family val="2"/>
      </rPr>
      <t xml:space="preserve">圖（雷達殼體表面缺點數）</t>
    </r>
  </si>
  <si>
    <r>
      <rPr>
        <b val="true"/>
        <sz val="11"/>
        <color rgb="FF000000"/>
        <rFont val="Arial"/>
        <family val="0"/>
        <charset val="1"/>
      </rPr>
      <t xml:space="preserve">c</t>
    </r>
    <r>
      <rPr>
        <b val="true"/>
        <sz val="11"/>
        <color rgb="FF000000"/>
        <rFont val="Noto Sans CJK SC"/>
        <family val="2"/>
      </rPr>
      <t xml:space="preserve">槓</t>
    </r>
  </si>
  <si>
    <r>
      <rPr>
        <i val="true"/>
        <sz val="9"/>
        <color rgb="FF666666"/>
        <rFont val="Noto Sans CJK SC"/>
        <family val="2"/>
      </rPr>
      <t xml:space="preserve">說明：逐一檢驗</t>
    </r>
    <r>
      <rPr>
        <i val="true"/>
        <sz val="9"/>
        <color rgb="FF666666"/>
        <rFont val="Arial"/>
        <family val="0"/>
        <charset val="1"/>
      </rPr>
      <t xml:space="preserve">20</t>
    </r>
    <r>
      <rPr>
        <i val="true"/>
        <sz val="9"/>
        <color rgb="FF666666"/>
        <rFont val="Noto Sans CJK SC"/>
        <family val="2"/>
      </rPr>
      <t xml:space="preserve">件雷達殼體，</t>
    </r>
    <r>
      <rPr>
        <i val="true"/>
        <sz val="9"/>
        <color rgb="FF666666"/>
        <rFont val="Arial"/>
        <family val="0"/>
        <charset val="1"/>
      </rPr>
      <t xml:space="preserve">B</t>
    </r>
    <r>
      <rPr>
        <i val="true"/>
        <sz val="9"/>
        <color rgb="FF666666"/>
        <rFont val="Noto Sans CJK SC"/>
        <family val="2"/>
      </rPr>
      <t xml:space="preserve">欄為缺點數</t>
    </r>
    <r>
      <rPr>
        <i val="true"/>
        <sz val="9"/>
        <color rgb="FF666666"/>
        <rFont val="Arial"/>
        <family val="0"/>
        <charset val="1"/>
      </rPr>
      <t xml:space="preserve">c</t>
    </r>
    <r>
      <rPr>
        <i val="true"/>
        <sz val="9"/>
        <color rgb="FF666666"/>
        <rFont val="Noto Sans CJK SC"/>
        <family val="2"/>
      </rPr>
      <t xml:space="preserve">。</t>
    </r>
  </si>
  <si>
    <t xml:space="preserve">檢驗單位</t>
  </si>
  <si>
    <r>
      <rPr>
        <b val="true"/>
        <sz val="11"/>
        <color rgb="FFFFFFFF"/>
        <rFont val="Noto Sans CJK SC"/>
        <family val="2"/>
      </rPr>
      <t xml:space="preserve">缺點數</t>
    </r>
    <r>
      <rPr>
        <b val="true"/>
        <sz val="11"/>
        <color rgb="FFFFFFFF"/>
        <rFont val="Arial"/>
        <family val="0"/>
        <charset val="1"/>
      </rPr>
      <t xml:space="preserve">c</t>
    </r>
  </si>
  <si>
    <r>
      <rPr>
        <b val="true"/>
        <sz val="14"/>
        <rFont val="Noto Sans CJK SC"/>
        <family val="2"/>
      </rPr>
      <t xml:space="preserve">延伸練習一：無人機螺旋槳槳距角度管制（</t>
    </r>
    <r>
      <rPr>
        <b val="true"/>
        <sz val="14"/>
        <rFont val="Arial"/>
        <family val="0"/>
        <charset val="1"/>
      </rPr>
      <t xml:space="preserve">X̄-R</t>
    </r>
    <r>
      <rPr>
        <b val="true"/>
        <sz val="14"/>
        <rFont val="Noto Sans CJK SC"/>
        <family val="2"/>
      </rPr>
      <t xml:space="preserve">圖，</t>
    </r>
    <r>
      <rPr>
        <b val="true"/>
        <sz val="14"/>
        <rFont val="Arial"/>
        <family val="0"/>
        <charset val="1"/>
      </rPr>
      <t xml:space="preserve">n=4</t>
    </r>
    <r>
      <rPr>
        <b val="true"/>
        <sz val="14"/>
        <rFont val="Noto Sans CJK SC"/>
        <family val="2"/>
      </rPr>
      <t xml:space="preserve">）</t>
    </r>
  </si>
  <si>
    <r>
      <rPr>
        <i val="true"/>
        <sz val="9"/>
        <color rgb="FF666666"/>
        <rFont val="Noto Sans CJK SC"/>
        <family val="2"/>
      </rPr>
      <t xml:space="preserve">說明：計算</t>
    </r>
    <r>
      <rPr>
        <i val="true"/>
        <sz val="9"/>
        <color rgb="FF666666"/>
        <rFont val="Arial"/>
        <family val="0"/>
        <charset val="1"/>
      </rPr>
      <t xml:space="preserve">X</t>
    </r>
    <r>
      <rPr>
        <i val="true"/>
        <sz val="9"/>
        <color rgb="FF666666"/>
        <rFont val="Noto Sans CJK SC"/>
        <family val="2"/>
      </rPr>
      <t xml:space="preserve">雙槓、</t>
    </r>
    <r>
      <rPr>
        <i val="true"/>
        <sz val="9"/>
        <color rgb="FF666666"/>
        <rFont val="Arial"/>
        <family val="0"/>
        <charset val="1"/>
      </rPr>
      <t xml:space="preserve">R</t>
    </r>
    <r>
      <rPr>
        <i val="true"/>
        <sz val="9"/>
        <color rgb="FF666666"/>
        <rFont val="Noto Sans CJK SC"/>
        <family val="2"/>
      </rPr>
      <t xml:space="preserve">槓與管制界限，並找出違反規則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之子群。</t>
    </r>
  </si>
  <si>
    <t xml:space="preserve">A2(n=4)</t>
  </si>
  <si>
    <t xml:space="preserve">D4(n=4)</t>
  </si>
  <si>
    <r>
      <rPr>
        <b val="true"/>
        <sz val="14"/>
        <rFont val="Noto Sans CJK SC"/>
        <family val="2"/>
      </rPr>
      <t xml:space="preserve">延伸練習二：電路板銲接不良率管制（</t>
    </r>
    <r>
      <rPr>
        <b val="true"/>
        <sz val="14"/>
        <rFont val="Arial"/>
        <family val="0"/>
        <charset val="1"/>
      </rPr>
      <t xml:space="preserve">p</t>
    </r>
    <r>
      <rPr>
        <b val="true"/>
        <sz val="14"/>
        <rFont val="Noto Sans CJK SC"/>
        <family val="2"/>
      </rPr>
      <t xml:space="preserve">圖，</t>
    </r>
    <r>
      <rPr>
        <b val="true"/>
        <sz val="14"/>
        <rFont val="Arial"/>
        <family val="0"/>
        <charset val="1"/>
      </rPr>
      <t xml:space="preserve">n=150</t>
    </r>
    <r>
      <rPr>
        <b val="true"/>
        <sz val="14"/>
        <rFont val="Noto Sans CJK SC"/>
        <family val="2"/>
      </rPr>
      <t xml:space="preserve">）</t>
    </r>
  </si>
  <si>
    <r>
      <rPr>
        <i val="true"/>
        <sz val="9"/>
        <color rgb="FF666666"/>
        <rFont val="Noto Sans CJK SC"/>
        <family val="2"/>
      </rPr>
      <t xml:space="preserve">說明：計算</t>
    </r>
    <r>
      <rPr>
        <i val="true"/>
        <sz val="9"/>
        <color rgb="FF666666"/>
        <rFont val="Arial"/>
        <family val="0"/>
        <charset val="1"/>
      </rPr>
      <t xml:space="preserve">p</t>
    </r>
    <r>
      <rPr>
        <i val="true"/>
        <sz val="9"/>
        <color rgb="FF666666"/>
        <rFont val="Noto Sans CJK SC"/>
        <family val="2"/>
      </rPr>
      <t xml:space="preserve">槓與管制界限，並找出違反管制界限之日期。</t>
    </r>
  </si>
  <si>
    <t xml:space="preserve">不良片數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</si>
</sst>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X̄ 管制圖（彈殼直徑）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01_XbarR管制圖_彈殼直徑!G4</c:f>
              <c:strCache>
                <c:ptCount val="1"/>
                <c:pt idx="0">
                  <c:v>X̄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01_XbarR管制圖_彈殼直徑!$A$5:$A$24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01_XbarR管制圖_彈殼直徑!$G$5:$G$24</c:f>
              <c:numCache>
                <c:formatCode>General</c:formatCode>
                <c:ptCount val="20"/>
                <c:pt idx="0">
                  <c:v>10.0068</c:v>
                </c:pt>
                <c:pt idx="1">
                  <c:v>10.0066</c:v>
                </c:pt>
                <c:pt idx="2">
                  <c:v>9.987</c:v>
                </c:pt>
                <c:pt idx="3">
                  <c:v>9.9894</c:v>
                </c:pt>
                <c:pt idx="4">
                  <c:v>9.9982</c:v>
                </c:pt>
                <c:pt idx="5">
                  <c:v>9.9956</c:v>
                </c:pt>
                <c:pt idx="6">
                  <c:v>10.003</c:v>
                </c:pt>
                <c:pt idx="7">
                  <c:v>9.9878</c:v>
                </c:pt>
                <c:pt idx="8">
                  <c:v>9.997</c:v>
                </c:pt>
                <c:pt idx="9">
                  <c:v>9.9954</c:v>
                </c:pt>
                <c:pt idx="10">
                  <c:v>10.0026</c:v>
                </c:pt>
                <c:pt idx="11">
                  <c:v>10.0032</c:v>
                </c:pt>
                <c:pt idx="12">
                  <c:v>9.9934</c:v>
                </c:pt>
                <c:pt idx="13">
                  <c:v>10.0058</c:v>
                </c:pt>
                <c:pt idx="14">
                  <c:v>10.0022</c:v>
                </c:pt>
                <c:pt idx="15">
                  <c:v>9.996</c:v>
                </c:pt>
                <c:pt idx="16">
                  <c:v>10.0008</c:v>
                </c:pt>
                <c:pt idx="17">
                  <c:v>10.0372</c:v>
                </c:pt>
                <c:pt idx="18">
                  <c:v>10.0338</c:v>
                </c:pt>
                <c:pt idx="19">
                  <c:v>10.0314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01_XbarR管制圖_彈殼直徑!R4</c:f>
              <c:strCache>
                <c:ptCount val="1"/>
                <c:pt idx="0">
                  <c:v>CL線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01_XbarR管制圖_彈殼直徑!$A$5:$A$24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01_XbarR管制圖_彈殼直徑!$R$5:$R$24</c:f>
              <c:numCache>
                <c:formatCode>General</c:formatCode>
                <c:ptCount val="20"/>
                <c:pt idx="0">
                  <c:v>10.00366</c:v>
                </c:pt>
                <c:pt idx="1">
                  <c:v>10.00366</c:v>
                </c:pt>
                <c:pt idx="2">
                  <c:v>10.00366</c:v>
                </c:pt>
                <c:pt idx="3">
                  <c:v>10.00366</c:v>
                </c:pt>
                <c:pt idx="4">
                  <c:v>10.00366</c:v>
                </c:pt>
                <c:pt idx="5">
                  <c:v>10.00366</c:v>
                </c:pt>
                <c:pt idx="6">
                  <c:v>10.00366</c:v>
                </c:pt>
                <c:pt idx="7">
                  <c:v>10.00366</c:v>
                </c:pt>
                <c:pt idx="8">
                  <c:v>10.00366</c:v>
                </c:pt>
                <c:pt idx="9">
                  <c:v>10.00366</c:v>
                </c:pt>
                <c:pt idx="10">
                  <c:v>10.00366</c:v>
                </c:pt>
                <c:pt idx="11">
                  <c:v>10.00366</c:v>
                </c:pt>
                <c:pt idx="12">
                  <c:v>10.00366</c:v>
                </c:pt>
                <c:pt idx="13">
                  <c:v>10.00366</c:v>
                </c:pt>
                <c:pt idx="14">
                  <c:v>10.00366</c:v>
                </c:pt>
                <c:pt idx="15">
                  <c:v>10.00366</c:v>
                </c:pt>
                <c:pt idx="16">
                  <c:v>10.00366</c:v>
                </c:pt>
                <c:pt idx="17">
                  <c:v>10.00366</c:v>
                </c:pt>
                <c:pt idx="18">
                  <c:v>10.00366</c:v>
                </c:pt>
                <c:pt idx="19">
                  <c:v>10.00366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01_XbarR管制圖_彈殼直徑!S4</c:f>
              <c:strCache>
                <c:ptCount val="1"/>
                <c:pt idx="0">
                  <c:v>UCL線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01_XbarR管制圖_彈殼直徑!$A$5:$A$24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01_XbarR管制圖_彈殼直徑!$S$5:$S$24</c:f>
              <c:numCache>
                <c:formatCode>General</c:formatCode>
                <c:ptCount val="20"/>
                <c:pt idx="0">
                  <c:v>10.02267215</c:v>
                </c:pt>
                <c:pt idx="1">
                  <c:v>10.02267215</c:v>
                </c:pt>
                <c:pt idx="2">
                  <c:v>10.02267215</c:v>
                </c:pt>
                <c:pt idx="3">
                  <c:v>10.02267215</c:v>
                </c:pt>
                <c:pt idx="4">
                  <c:v>10.02267215</c:v>
                </c:pt>
                <c:pt idx="5">
                  <c:v>10.02267215</c:v>
                </c:pt>
                <c:pt idx="6">
                  <c:v>10.02267215</c:v>
                </c:pt>
                <c:pt idx="7">
                  <c:v>10.02267215</c:v>
                </c:pt>
                <c:pt idx="8">
                  <c:v>10.02267215</c:v>
                </c:pt>
                <c:pt idx="9">
                  <c:v>10.02267215</c:v>
                </c:pt>
                <c:pt idx="10">
                  <c:v>10.02267215</c:v>
                </c:pt>
                <c:pt idx="11">
                  <c:v>10.02267215</c:v>
                </c:pt>
                <c:pt idx="12">
                  <c:v>10.02267215</c:v>
                </c:pt>
                <c:pt idx="13">
                  <c:v>10.02267215</c:v>
                </c:pt>
                <c:pt idx="14">
                  <c:v>10.02267215</c:v>
                </c:pt>
                <c:pt idx="15">
                  <c:v>10.02267215</c:v>
                </c:pt>
                <c:pt idx="16">
                  <c:v>10.02267215</c:v>
                </c:pt>
                <c:pt idx="17">
                  <c:v>10.02267215</c:v>
                </c:pt>
                <c:pt idx="18">
                  <c:v>10.02267215</c:v>
                </c:pt>
                <c:pt idx="19">
                  <c:v>10.02267215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01_XbarR管制圖_彈殼直徑!T4</c:f>
              <c:strCache>
                <c:ptCount val="1"/>
                <c:pt idx="0">
                  <c:v>LCL線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01_XbarR管制圖_彈殼直徑!$A$5:$A$24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01_XbarR管制圖_彈殼直徑!$T$5:$T$24</c:f>
              <c:numCache>
                <c:formatCode>General</c:formatCode>
                <c:ptCount val="20"/>
                <c:pt idx="0">
                  <c:v>9.98464785</c:v>
                </c:pt>
                <c:pt idx="1">
                  <c:v>9.98464785</c:v>
                </c:pt>
                <c:pt idx="2">
                  <c:v>9.98464785</c:v>
                </c:pt>
                <c:pt idx="3">
                  <c:v>9.98464785</c:v>
                </c:pt>
                <c:pt idx="4">
                  <c:v>9.98464785</c:v>
                </c:pt>
                <c:pt idx="5">
                  <c:v>9.98464785</c:v>
                </c:pt>
                <c:pt idx="6">
                  <c:v>9.98464785</c:v>
                </c:pt>
                <c:pt idx="7">
                  <c:v>9.98464785</c:v>
                </c:pt>
                <c:pt idx="8">
                  <c:v>9.98464785</c:v>
                </c:pt>
                <c:pt idx="9">
                  <c:v>9.98464785</c:v>
                </c:pt>
                <c:pt idx="10">
                  <c:v>9.98464785</c:v>
                </c:pt>
                <c:pt idx="11">
                  <c:v>9.98464785</c:v>
                </c:pt>
                <c:pt idx="12">
                  <c:v>9.98464785</c:v>
                </c:pt>
                <c:pt idx="13">
                  <c:v>9.98464785</c:v>
                </c:pt>
                <c:pt idx="14">
                  <c:v>9.98464785</c:v>
                </c:pt>
                <c:pt idx="15">
                  <c:v>9.98464785</c:v>
                </c:pt>
                <c:pt idx="16">
                  <c:v>9.98464785</c:v>
                </c:pt>
                <c:pt idx="17">
                  <c:v>9.98464785</c:v>
                </c:pt>
                <c:pt idx="18">
                  <c:v>9.98464785</c:v>
                </c:pt>
                <c:pt idx="19">
                  <c:v>9.98464785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644020"/>
        <c:axId val="22900973"/>
      </c:lineChart>
      <c:catAx>
        <c:axId val="53644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子群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00973"/>
        <c:crosses val="autoZero"/>
        <c:auto val="1"/>
        <c:lblAlgn val="ctr"/>
        <c:lblOffset val="100"/>
        <c:noMultiLvlLbl val="0"/>
      </c:catAx>
      <c:valAx>
        <c:axId val="22900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X̄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44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5</xdr:row>
      <xdr:rowOff>52200</xdr:rowOff>
    </xdr:from>
    <xdr:to>
      <xdr:col>25</xdr:col>
      <xdr:colOff>507600</xdr:colOff>
      <xdr:row>19</xdr:row>
      <xdr:rowOff>84600</xdr:rowOff>
    </xdr:to>
    <xdr:graphicFrame>
      <xdr:nvGraphicFramePr>
        <xdr:cNvPr id="0" name="Chart 1"/>
        <xdr:cNvGraphicFramePr/>
      </xdr:nvGraphicFramePr>
      <xdr:xfrm>
        <a:off x="10338480" y="1143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5" t="s">
        <v>6</v>
      </c>
      <c r="C5" s="6" t="s">
        <v>7</v>
      </c>
    </row>
    <row r="6" customFormat="false" ht="17.15" hidden="false" customHeight="false" outlineLevel="0" collapsed="false">
      <c r="A6" s="4" t="s">
        <v>8</v>
      </c>
      <c r="B6" s="5" t="s">
        <v>9</v>
      </c>
      <c r="C6" s="7" t="s">
        <v>10</v>
      </c>
    </row>
    <row r="7" customFormat="false" ht="17.15" hidden="false" customHeight="false" outlineLevel="0" collapsed="false">
      <c r="A7" s="4" t="s">
        <v>11</v>
      </c>
      <c r="B7" s="5" t="s">
        <v>12</v>
      </c>
      <c r="C7" s="7" t="s">
        <v>13</v>
      </c>
    </row>
    <row r="8" customFormat="false" ht="17.15" hidden="false" customHeight="false" outlineLevel="0" collapsed="false">
      <c r="A8" s="4" t="s">
        <v>14</v>
      </c>
      <c r="B8" s="4" t="s">
        <v>15</v>
      </c>
      <c r="C8" s="6" t="s">
        <v>16</v>
      </c>
    </row>
    <row r="9" customFormat="false" ht="17.15" hidden="false" customHeight="false" outlineLevel="0" collapsed="false">
      <c r="A9" s="4" t="s">
        <v>17</v>
      </c>
      <c r="B9" s="4" t="s">
        <v>18</v>
      </c>
      <c r="C9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2" min="11" style="0" width="10"/>
    <col collapsed="false" customWidth="true" hidden="false" outlineLevel="0" max="13" min="13" style="0" width="3"/>
    <col collapsed="false" customWidth="true" hidden="false" outlineLevel="0" max="16" min="14" style="0" width="10"/>
  </cols>
  <sheetData>
    <row r="1" customFormat="false" ht="21.6" hidden="false" customHeight="false" outlineLevel="0" collapsed="false">
      <c r="A1" s="1" t="s">
        <v>20</v>
      </c>
      <c r="L1" s="8" t="s">
        <v>21</v>
      </c>
      <c r="M1" s="9" t="n">
        <f aca="false">AVERAGE(G5:G24)</f>
        <v>10.00366</v>
      </c>
      <c r="O1" s="8" t="s">
        <v>22</v>
      </c>
      <c r="P1" s="9" t="n">
        <f aca="false">M1+M3*M2</f>
        <v>10.02267215</v>
      </c>
    </row>
    <row r="2" customFormat="false" ht="17.15" hidden="false" customHeight="false" outlineLevel="0" collapsed="false">
      <c r="A2" s="2" t="s">
        <v>23</v>
      </c>
      <c r="L2" s="8" t="s">
        <v>24</v>
      </c>
      <c r="M2" s="9" t="n">
        <f aca="false">AVERAGE(H5:H24)</f>
        <v>0.0329500000000001</v>
      </c>
      <c r="O2" s="8" t="s">
        <v>25</v>
      </c>
      <c r="P2" s="9" t="n">
        <f aca="false">M1-M3*M2</f>
        <v>9.98464785</v>
      </c>
    </row>
    <row r="3" customFormat="false" ht="15" hidden="false" customHeight="false" outlineLevel="0" collapsed="false">
      <c r="L3" s="8" t="s">
        <v>26</v>
      </c>
      <c r="M3" s="10" t="n">
        <v>0.577</v>
      </c>
      <c r="O3" s="8" t="s">
        <v>27</v>
      </c>
      <c r="P3" s="9" t="n">
        <f aca="false">M5*M2</f>
        <v>0.0696563000000003</v>
      </c>
    </row>
    <row r="4" customFormat="false" ht="17.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11" t="s">
        <v>34</v>
      </c>
      <c r="H4" s="11" t="s">
        <v>35</v>
      </c>
      <c r="I4" s="3" t="s">
        <v>36</v>
      </c>
      <c r="L4" s="8" t="s">
        <v>37</v>
      </c>
      <c r="M4" s="10" t="n">
        <v>0</v>
      </c>
      <c r="O4" s="8" t="s">
        <v>38</v>
      </c>
      <c r="P4" s="9" t="n">
        <f aca="false">M4*M2</f>
        <v>0</v>
      </c>
      <c r="R4" s="11" t="s">
        <v>39</v>
      </c>
      <c r="S4" s="11" t="s">
        <v>40</v>
      </c>
      <c r="T4" s="11" t="s">
        <v>41</v>
      </c>
    </row>
    <row r="5" customFormat="false" ht="15" hidden="false" customHeight="false" outlineLevel="0" collapsed="false">
      <c r="A5" s="12" t="n">
        <v>1</v>
      </c>
      <c r="B5" s="10" t="n">
        <v>10.007</v>
      </c>
      <c r="C5" s="10" t="n">
        <v>9.998</v>
      </c>
      <c r="D5" s="10" t="n">
        <v>10.01</v>
      </c>
      <c r="E5" s="10" t="n">
        <v>10.023</v>
      </c>
      <c r="F5" s="10" t="n">
        <v>9.996</v>
      </c>
      <c r="G5" s="9" t="n">
        <f aca="false">AVERAGE(B5:F5)</f>
        <v>10.0068</v>
      </c>
      <c r="H5" s="9" t="n">
        <f aca="false">MAX(B5:F5)-MIN(B5:F5)</f>
        <v>0.0269999999999992</v>
      </c>
      <c r="I5" s="9" t="str">
        <f aca="false">IF(OR(G5&gt;$P$1,G5&lt;$P$2),"規則1違反","")</f>
        <v/>
      </c>
      <c r="L5" s="8" t="s">
        <v>42</v>
      </c>
      <c r="M5" s="10" t="n">
        <v>2.114</v>
      </c>
      <c r="R5" s="9" t="n">
        <f aca="false">$M$1</f>
        <v>10.00366</v>
      </c>
      <c r="S5" s="9" t="n">
        <f aca="false">$P$1</f>
        <v>10.02267215</v>
      </c>
      <c r="T5" s="9" t="n">
        <f aca="false">$P$2</f>
        <v>9.98464785</v>
      </c>
    </row>
    <row r="6" customFormat="false" ht="15" hidden="false" customHeight="false" outlineLevel="0" collapsed="false">
      <c r="A6" s="12" t="n">
        <v>2</v>
      </c>
      <c r="B6" s="10" t="n">
        <v>9.996</v>
      </c>
      <c r="C6" s="10" t="n">
        <v>10.024</v>
      </c>
      <c r="D6" s="10" t="n">
        <v>10.012</v>
      </c>
      <c r="E6" s="10" t="n">
        <v>9.993</v>
      </c>
      <c r="F6" s="10" t="n">
        <v>10.008</v>
      </c>
      <c r="G6" s="9" t="n">
        <f aca="false">AVERAGE(B6:F6)</f>
        <v>10.0066</v>
      </c>
      <c r="H6" s="9" t="n">
        <f aca="false">MAX(B6:F6)-MIN(B6:F6)</f>
        <v>0.0309999999999988</v>
      </c>
      <c r="I6" s="9" t="str">
        <f aca="false">IF(OR(G6&gt;$P$1,G6&lt;$P$2),"規則1違反","")</f>
        <v/>
      </c>
      <c r="R6" s="9" t="n">
        <f aca="false">$M$1</f>
        <v>10.00366</v>
      </c>
      <c r="S6" s="9" t="n">
        <f aca="false">$P$1</f>
        <v>10.02267215</v>
      </c>
      <c r="T6" s="9" t="n">
        <f aca="false">$P$2</f>
        <v>9.98464785</v>
      </c>
    </row>
    <row r="7" customFormat="false" ht="15" hidden="false" customHeight="false" outlineLevel="0" collapsed="false">
      <c r="A7" s="12" t="n">
        <v>3</v>
      </c>
      <c r="B7" s="10" t="n">
        <v>9.993</v>
      </c>
      <c r="C7" s="10" t="n">
        <v>9.993</v>
      </c>
      <c r="D7" s="10" t="n">
        <v>10.004</v>
      </c>
      <c r="E7" s="10" t="n">
        <v>9.971</v>
      </c>
      <c r="F7" s="10" t="n">
        <v>9.974</v>
      </c>
      <c r="G7" s="9" t="n">
        <f aca="false">AVERAGE(B7:F7)</f>
        <v>9.987</v>
      </c>
      <c r="H7" s="9" t="n">
        <f aca="false">MAX(B7:F7)-MIN(B7:F7)</f>
        <v>0.0329999999999995</v>
      </c>
      <c r="I7" s="9" t="str">
        <f aca="false">IF(OR(G7&gt;$P$1,G7&lt;$P$2),"規則1違反","")</f>
        <v/>
      </c>
      <c r="R7" s="9" t="n">
        <f aca="false">$M$1</f>
        <v>10.00366</v>
      </c>
      <c r="S7" s="9" t="n">
        <f aca="false">$P$1</f>
        <v>10.02267215</v>
      </c>
      <c r="T7" s="9" t="n">
        <f aca="false">$P$2</f>
        <v>9.98464785</v>
      </c>
    </row>
    <row r="8" customFormat="false" ht="15" hidden="false" customHeight="false" outlineLevel="0" collapsed="false">
      <c r="A8" s="12" t="n">
        <v>4</v>
      </c>
      <c r="B8" s="10" t="n">
        <v>9.992</v>
      </c>
      <c r="C8" s="10" t="n">
        <v>9.985</v>
      </c>
      <c r="D8" s="10" t="n">
        <v>10.005</v>
      </c>
      <c r="E8" s="10" t="n">
        <v>9.986</v>
      </c>
      <c r="F8" s="10" t="n">
        <v>9.979</v>
      </c>
      <c r="G8" s="9" t="n">
        <f aca="false">AVERAGE(B8:F8)</f>
        <v>9.9894</v>
      </c>
      <c r="H8" s="9" t="n">
        <f aca="false">MAX(B8:F8)-MIN(B8:F8)</f>
        <v>0.0260000000000016</v>
      </c>
      <c r="I8" s="9" t="str">
        <f aca="false">IF(OR(G8&gt;$P$1,G8&lt;$P$2),"規則1違反","")</f>
        <v/>
      </c>
      <c r="R8" s="9" t="n">
        <f aca="false">$M$1</f>
        <v>10.00366</v>
      </c>
      <c r="S8" s="9" t="n">
        <f aca="false">$P$1</f>
        <v>10.02267215</v>
      </c>
      <c r="T8" s="9" t="n">
        <f aca="false">$P$2</f>
        <v>9.98464785</v>
      </c>
    </row>
    <row r="9" customFormat="false" ht="15" hidden="false" customHeight="false" outlineLevel="0" collapsed="false">
      <c r="A9" s="12" t="n">
        <v>5</v>
      </c>
      <c r="B9" s="10" t="n">
        <v>10.022</v>
      </c>
      <c r="C9" s="10" t="n">
        <v>9.997</v>
      </c>
      <c r="D9" s="10" t="n">
        <v>10.001</v>
      </c>
      <c r="E9" s="10" t="n">
        <v>9.979</v>
      </c>
      <c r="F9" s="10" t="n">
        <v>9.992</v>
      </c>
      <c r="G9" s="9" t="n">
        <f aca="false">AVERAGE(B9:F9)</f>
        <v>9.9982</v>
      </c>
      <c r="H9" s="9" t="n">
        <f aca="false">MAX(B9:F9)-MIN(B9:F9)</f>
        <v>0.043000000000001</v>
      </c>
      <c r="I9" s="9" t="str">
        <f aca="false">IF(OR(G9&gt;$P$1,G9&lt;$P$2),"規則1違反","")</f>
        <v/>
      </c>
      <c r="R9" s="9" t="n">
        <f aca="false">$M$1</f>
        <v>10.00366</v>
      </c>
      <c r="S9" s="9" t="n">
        <f aca="false">$P$1</f>
        <v>10.02267215</v>
      </c>
      <c r="T9" s="9" t="n">
        <f aca="false">$P$2</f>
        <v>9.98464785</v>
      </c>
    </row>
    <row r="10" customFormat="false" ht="15" hidden="false" customHeight="false" outlineLevel="0" collapsed="false">
      <c r="A10" s="12" t="n">
        <v>6</v>
      </c>
      <c r="B10" s="10" t="n">
        <v>10.002</v>
      </c>
      <c r="C10" s="10" t="n">
        <v>9.983</v>
      </c>
      <c r="D10" s="10" t="n">
        <v>10.006</v>
      </c>
      <c r="E10" s="10" t="n">
        <v>9.991</v>
      </c>
      <c r="F10" s="10" t="n">
        <v>9.996</v>
      </c>
      <c r="G10" s="9" t="n">
        <f aca="false">AVERAGE(B10:F10)</f>
        <v>9.9956</v>
      </c>
      <c r="H10" s="9" t="n">
        <f aca="false">MAX(B10:F10)-MIN(B10:F10)</f>
        <v>0.0229999999999997</v>
      </c>
      <c r="I10" s="9" t="str">
        <f aca="false">IF(OR(G10&gt;$P$1,G10&lt;$P$2),"規則1違反","")</f>
        <v/>
      </c>
      <c r="R10" s="9" t="n">
        <f aca="false">$M$1</f>
        <v>10.00366</v>
      </c>
      <c r="S10" s="9" t="n">
        <f aca="false">$P$1</f>
        <v>10.02267215</v>
      </c>
      <c r="T10" s="9" t="n">
        <f aca="false">$P$2</f>
        <v>9.98464785</v>
      </c>
    </row>
    <row r="11" customFormat="false" ht="15" hidden="false" customHeight="false" outlineLevel="0" collapsed="false">
      <c r="A11" s="12" t="n">
        <v>7</v>
      </c>
      <c r="B11" s="10" t="n">
        <v>9.991</v>
      </c>
      <c r="C11" s="10" t="n">
        <v>10.028</v>
      </c>
      <c r="D11" s="10" t="n">
        <v>10</v>
      </c>
      <c r="E11" s="10" t="n">
        <v>9.984</v>
      </c>
      <c r="F11" s="10" t="n">
        <v>10.012</v>
      </c>
      <c r="G11" s="9" t="n">
        <f aca="false">AVERAGE(B11:F11)</f>
        <v>10.003</v>
      </c>
      <c r="H11" s="9" t="n">
        <f aca="false">MAX(B11:F11)-MIN(B11:F11)</f>
        <v>0.0440000000000005</v>
      </c>
      <c r="I11" s="9" t="str">
        <f aca="false">IF(OR(G11&gt;$P$1,G11&lt;$P$2),"規則1違反","")</f>
        <v/>
      </c>
      <c r="R11" s="9" t="n">
        <f aca="false">$M$1</f>
        <v>10.00366</v>
      </c>
      <c r="S11" s="9" t="n">
        <f aca="false">$P$1</f>
        <v>10.02267215</v>
      </c>
      <c r="T11" s="9" t="n">
        <f aca="false">$P$2</f>
        <v>9.98464785</v>
      </c>
    </row>
    <row r="12" customFormat="false" ht="15" hidden="false" customHeight="false" outlineLevel="0" collapsed="false">
      <c r="A12" s="12" t="n">
        <v>8</v>
      </c>
      <c r="B12" s="10" t="n">
        <v>9.982</v>
      </c>
      <c r="C12" s="10" t="n">
        <v>10.003</v>
      </c>
      <c r="D12" s="10" t="n">
        <v>9.971</v>
      </c>
      <c r="E12" s="10" t="n">
        <v>9.98</v>
      </c>
      <c r="F12" s="10" t="n">
        <v>10.003</v>
      </c>
      <c r="G12" s="9" t="n">
        <f aca="false">AVERAGE(B12:F12)</f>
        <v>9.9878</v>
      </c>
      <c r="H12" s="9" t="n">
        <f aca="false">MAX(B12:F12)-MIN(B12:F12)</f>
        <v>0.032</v>
      </c>
      <c r="I12" s="9" t="str">
        <f aca="false">IF(OR(G12&gt;$P$1,G12&lt;$P$2),"規則1違反","")</f>
        <v/>
      </c>
      <c r="R12" s="9" t="n">
        <f aca="false">$M$1</f>
        <v>10.00366</v>
      </c>
      <c r="S12" s="9" t="n">
        <f aca="false">$P$1</f>
        <v>10.02267215</v>
      </c>
      <c r="T12" s="9" t="n">
        <f aca="false">$P$2</f>
        <v>9.98464785</v>
      </c>
    </row>
    <row r="13" customFormat="false" ht="15" hidden="false" customHeight="false" outlineLevel="0" collapsed="false">
      <c r="A13" s="12" t="n">
        <v>9</v>
      </c>
      <c r="B13" s="10" t="n">
        <v>10.011</v>
      </c>
      <c r="C13" s="10" t="n">
        <v>10.003</v>
      </c>
      <c r="D13" s="10" t="n">
        <v>9.998</v>
      </c>
      <c r="E13" s="10" t="n">
        <v>9.995</v>
      </c>
      <c r="F13" s="10" t="n">
        <v>9.978</v>
      </c>
      <c r="G13" s="9" t="n">
        <f aca="false">AVERAGE(B13:F13)</f>
        <v>9.997</v>
      </c>
      <c r="H13" s="9" t="n">
        <f aca="false">MAX(B13:F13)-MIN(B13:F13)</f>
        <v>0.0329999999999995</v>
      </c>
      <c r="I13" s="9" t="str">
        <f aca="false">IF(OR(G13&gt;$P$1,G13&lt;$P$2),"規則1違反","")</f>
        <v/>
      </c>
      <c r="R13" s="9" t="n">
        <f aca="false">$M$1</f>
        <v>10.00366</v>
      </c>
      <c r="S13" s="9" t="n">
        <f aca="false">$P$1</f>
        <v>10.02267215</v>
      </c>
      <c r="T13" s="9" t="n">
        <f aca="false">$P$2</f>
        <v>9.98464785</v>
      </c>
    </row>
    <row r="14" customFormat="false" ht="15" hidden="false" customHeight="false" outlineLevel="0" collapsed="false">
      <c r="A14" s="12" t="n">
        <v>10</v>
      </c>
      <c r="B14" s="10" t="n">
        <v>9.989</v>
      </c>
      <c r="C14" s="10" t="n">
        <v>9.993</v>
      </c>
      <c r="D14" s="10" t="n">
        <v>10.016</v>
      </c>
      <c r="E14" s="10" t="n">
        <v>10.005</v>
      </c>
      <c r="F14" s="10" t="n">
        <v>9.974</v>
      </c>
      <c r="G14" s="9" t="n">
        <f aca="false">AVERAGE(B14:F14)</f>
        <v>9.9954</v>
      </c>
      <c r="H14" s="9" t="n">
        <f aca="false">MAX(B14:F14)-MIN(B14:F14)</f>
        <v>0.0419999999999998</v>
      </c>
      <c r="I14" s="9" t="str">
        <f aca="false">IF(OR(G14&gt;$P$1,G14&lt;$P$2),"規則1違反","")</f>
        <v/>
      </c>
      <c r="R14" s="9" t="n">
        <f aca="false">$M$1</f>
        <v>10.00366</v>
      </c>
      <c r="S14" s="9" t="n">
        <f aca="false">$P$1</f>
        <v>10.02267215</v>
      </c>
      <c r="T14" s="9" t="n">
        <f aca="false">$P$2</f>
        <v>9.98464785</v>
      </c>
    </row>
    <row r="15" customFormat="false" ht="15" hidden="false" customHeight="false" outlineLevel="0" collapsed="false">
      <c r="A15" s="12" t="n">
        <v>11</v>
      </c>
      <c r="B15" s="10" t="n">
        <v>10.005</v>
      </c>
      <c r="C15" s="10" t="n">
        <v>9.994</v>
      </c>
      <c r="D15" s="10" t="n">
        <v>9.99</v>
      </c>
      <c r="E15" s="10" t="n">
        <v>10.009</v>
      </c>
      <c r="F15" s="10" t="n">
        <v>10.015</v>
      </c>
      <c r="G15" s="9" t="n">
        <f aca="false">AVERAGE(B15:F15)</f>
        <v>10.0026</v>
      </c>
      <c r="H15" s="9" t="n">
        <f aca="false">MAX(B15:F15)-MIN(B15:F15)</f>
        <v>0.0250000000000004</v>
      </c>
      <c r="I15" s="9" t="str">
        <f aca="false">IF(OR(G15&gt;$P$1,G15&lt;$P$2),"規則1違反","")</f>
        <v/>
      </c>
      <c r="R15" s="9" t="n">
        <f aca="false">$M$1</f>
        <v>10.00366</v>
      </c>
      <c r="S15" s="9" t="n">
        <f aca="false">$P$1</f>
        <v>10.02267215</v>
      </c>
      <c r="T15" s="9" t="n">
        <f aca="false">$P$2</f>
        <v>9.98464785</v>
      </c>
    </row>
    <row r="16" customFormat="false" ht="15" hidden="false" customHeight="false" outlineLevel="0" collapsed="false">
      <c r="A16" s="12" t="n">
        <v>12</v>
      </c>
      <c r="B16" s="10" t="n">
        <v>10.014</v>
      </c>
      <c r="C16" s="10" t="n">
        <v>9.987</v>
      </c>
      <c r="D16" s="10" t="n">
        <v>9.995</v>
      </c>
      <c r="E16" s="10" t="n">
        <v>10.005</v>
      </c>
      <c r="F16" s="10" t="n">
        <v>10.015</v>
      </c>
      <c r="G16" s="9" t="n">
        <f aca="false">AVERAGE(B16:F16)</f>
        <v>10.0032</v>
      </c>
      <c r="H16" s="9" t="n">
        <f aca="false">MAX(B16:F16)-MIN(B16:F16)</f>
        <v>0.0280000000000005</v>
      </c>
      <c r="I16" s="9" t="str">
        <f aca="false">IF(OR(G16&gt;$P$1,G16&lt;$P$2),"規則1違反","")</f>
        <v/>
      </c>
      <c r="R16" s="9" t="n">
        <f aca="false">$M$1</f>
        <v>10.00366</v>
      </c>
      <c r="S16" s="9" t="n">
        <f aca="false">$P$1</f>
        <v>10.02267215</v>
      </c>
      <c r="T16" s="9" t="n">
        <f aca="false">$P$2</f>
        <v>9.98464785</v>
      </c>
    </row>
    <row r="17" customFormat="false" ht="15" hidden="false" customHeight="false" outlineLevel="0" collapsed="false">
      <c r="A17" s="12" t="n">
        <v>13</v>
      </c>
      <c r="B17" s="10" t="n">
        <v>9.993</v>
      </c>
      <c r="C17" s="10" t="n">
        <v>9.997</v>
      </c>
      <c r="D17" s="10" t="n">
        <v>9.983</v>
      </c>
      <c r="E17" s="10" t="n">
        <v>9.982</v>
      </c>
      <c r="F17" s="10" t="n">
        <v>10.012</v>
      </c>
      <c r="G17" s="9" t="n">
        <f aca="false">AVERAGE(B17:F17)</f>
        <v>9.9934</v>
      </c>
      <c r="H17" s="9" t="n">
        <f aca="false">MAX(B17:F17)-MIN(B17:F17)</f>
        <v>0.0300000000000011</v>
      </c>
      <c r="I17" s="9" t="str">
        <f aca="false">IF(OR(G17&gt;$P$1,G17&lt;$P$2),"規則1違反","")</f>
        <v/>
      </c>
      <c r="R17" s="9" t="n">
        <f aca="false">$M$1</f>
        <v>10.00366</v>
      </c>
      <c r="S17" s="9" t="n">
        <f aca="false">$P$1</f>
        <v>10.02267215</v>
      </c>
      <c r="T17" s="9" t="n">
        <f aca="false">$P$2</f>
        <v>9.98464785</v>
      </c>
    </row>
    <row r="18" customFormat="false" ht="15" hidden="false" customHeight="false" outlineLevel="0" collapsed="false">
      <c r="A18" s="12" t="n">
        <v>14</v>
      </c>
      <c r="B18" s="10" t="n">
        <v>10.02</v>
      </c>
      <c r="C18" s="10" t="n">
        <v>9.999</v>
      </c>
      <c r="D18" s="10" t="n">
        <v>10.015</v>
      </c>
      <c r="E18" s="10" t="n">
        <v>10.005</v>
      </c>
      <c r="F18" s="10" t="n">
        <v>9.99</v>
      </c>
      <c r="G18" s="9" t="n">
        <f aca="false">AVERAGE(B18:F18)</f>
        <v>10.0058</v>
      </c>
      <c r="H18" s="9" t="n">
        <f aca="false">MAX(B18:F18)-MIN(B18:F18)</f>
        <v>0.0299999999999994</v>
      </c>
      <c r="I18" s="9" t="str">
        <f aca="false">IF(OR(G18&gt;$P$1,G18&lt;$P$2),"規則1違反","")</f>
        <v/>
      </c>
      <c r="R18" s="9" t="n">
        <f aca="false">$M$1</f>
        <v>10.00366</v>
      </c>
      <c r="S18" s="9" t="n">
        <f aca="false">$P$1</f>
        <v>10.02267215</v>
      </c>
      <c r="T18" s="9" t="n">
        <f aca="false">$P$2</f>
        <v>9.98464785</v>
      </c>
    </row>
    <row r="19" customFormat="false" ht="15" hidden="false" customHeight="false" outlineLevel="0" collapsed="false">
      <c r="A19" s="12" t="n">
        <v>15</v>
      </c>
      <c r="B19" s="10" t="n">
        <v>10.005</v>
      </c>
      <c r="C19" s="10" t="n">
        <v>10.023</v>
      </c>
      <c r="D19" s="10" t="n">
        <v>9.999</v>
      </c>
      <c r="E19" s="10" t="n">
        <v>10.023</v>
      </c>
      <c r="F19" s="10" t="n">
        <v>9.961</v>
      </c>
      <c r="G19" s="9" t="n">
        <f aca="false">AVERAGE(B19:F19)</f>
        <v>10.0022</v>
      </c>
      <c r="H19" s="9" t="n">
        <f aca="false">MAX(B19:F19)-MIN(B19:F19)</f>
        <v>0.0619999999999994</v>
      </c>
      <c r="I19" s="9" t="str">
        <f aca="false">IF(OR(G19&gt;$P$1,G19&lt;$P$2),"規則1違反","")</f>
        <v/>
      </c>
      <c r="R19" s="9" t="n">
        <f aca="false">$M$1</f>
        <v>10.00366</v>
      </c>
      <c r="S19" s="9" t="n">
        <f aca="false">$P$1</f>
        <v>10.02267215</v>
      </c>
      <c r="T19" s="9" t="n">
        <f aca="false">$P$2</f>
        <v>9.98464785</v>
      </c>
    </row>
    <row r="20" customFormat="false" ht="15" hidden="false" customHeight="false" outlineLevel="0" collapsed="false">
      <c r="A20" s="12" t="n">
        <v>16</v>
      </c>
      <c r="B20" s="10" t="n">
        <v>10.012</v>
      </c>
      <c r="C20" s="10" t="n">
        <v>10.001</v>
      </c>
      <c r="D20" s="10" t="n">
        <v>9.996</v>
      </c>
      <c r="E20" s="10" t="n">
        <v>10.001</v>
      </c>
      <c r="F20" s="10" t="n">
        <v>9.97</v>
      </c>
      <c r="G20" s="9" t="n">
        <f aca="false">AVERAGE(B20:F20)</f>
        <v>9.996</v>
      </c>
      <c r="H20" s="9" t="n">
        <f aca="false">MAX(B20:F20)-MIN(B20:F20)</f>
        <v>0.0419999999999998</v>
      </c>
      <c r="I20" s="9" t="str">
        <f aca="false">IF(OR(G20&gt;$P$1,G20&lt;$P$2),"規則1違反","")</f>
        <v/>
      </c>
      <c r="R20" s="9" t="n">
        <f aca="false">$M$1</f>
        <v>10.00366</v>
      </c>
      <c r="S20" s="9" t="n">
        <f aca="false">$P$1</f>
        <v>10.02267215</v>
      </c>
      <c r="T20" s="9" t="n">
        <f aca="false">$P$2</f>
        <v>9.98464785</v>
      </c>
    </row>
    <row r="21" customFormat="false" ht="15" hidden="false" customHeight="false" outlineLevel="0" collapsed="false">
      <c r="A21" s="12" t="n">
        <v>17</v>
      </c>
      <c r="B21" s="10" t="n">
        <v>9.997</v>
      </c>
      <c r="C21" s="10" t="n">
        <v>10.005</v>
      </c>
      <c r="D21" s="10" t="n">
        <v>10.022</v>
      </c>
      <c r="E21" s="10" t="n">
        <v>9.992</v>
      </c>
      <c r="F21" s="10" t="n">
        <v>9.988</v>
      </c>
      <c r="G21" s="9" t="n">
        <f aca="false">AVERAGE(B21:F21)</f>
        <v>10.0008</v>
      </c>
      <c r="H21" s="9" t="n">
        <f aca="false">MAX(B21:F21)-MIN(B21:F21)</f>
        <v>0.0340000000000007</v>
      </c>
      <c r="I21" s="9" t="str">
        <f aca="false">IF(OR(G21&gt;$P$1,G21&lt;$P$2),"規則1違反","")</f>
        <v/>
      </c>
      <c r="R21" s="9" t="n">
        <f aca="false">$M$1</f>
        <v>10.00366</v>
      </c>
      <c r="S21" s="9" t="n">
        <f aca="false">$P$1</f>
        <v>10.02267215</v>
      </c>
      <c r="T21" s="9" t="n">
        <f aca="false">$P$2</f>
        <v>9.98464785</v>
      </c>
    </row>
    <row r="22" customFormat="false" ht="17.15" hidden="false" customHeight="false" outlineLevel="0" collapsed="false">
      <c r="A22" s="12" t="n">
        <v>18</v>
      </c>
      <c r="B22" s="10" t="n">
        <v>10.027</v>
      </c>
      <c r="C22" s="10" t="n">
        <v>10.049</v>
      </c>
      <c r="D22" s="10" t="n">
        <v>10.04</v>
      </c>
      <c r="E22" s="10" t="n">
        <v>10.027</v>
      </c>
      <c r="F22" s="10" t="n">
        <v>10.043</v>
      </c>
      <c r="G22" s="9" t="n">
        <f aca="false">AVERAGE(B22:F22)</f>
        <v>10.0372</v>
      </c>
      <c r="H22" s="9" t="n">
        <f aca="false">MAX(B22:F22)-MIN(B22:F22)</f>
        <v>0.0220000000000002</v>
      </c>
      <c r="I22" s="9" t="str">
        <f aca="false">IF(OR(G22&gt;$P$1,G22&lt;$P$2),"規則1違反","")</f>
        <v>規則1違反</v>
      </c>
      <c r="R22" s="9" t="n">
        <f aca="false">$M$1</f>
        <v>10.00366</v>
      </c>
      <c r="S22" s="9" t="n">
        <f aca="false">$P$1</f>
        <v>10.02267215</v>
      </c>
      <c r="T22" s="9" t="n">
        <f aca="false">$P$2</f>
        <v>9.98464785</v>
      </c>
    </row>
    <row r="23" customFormat="false" ht="17.15" hidden="false" customHeight="false" outlineLevel="0" collapsed="false">
      <c r="A23" s="12" t="n">
        <v>19</v>
      </c>
      <c r="B23" s="10" t="n">
        <v>10.036</v>
      </c>
      <c r="C23" s="10" t="n">
        <v>10.05</v>
      </c>
      <c r="D23" s="10" t="n">
        <v>10.024</v>
      </c>
      <c r="E23" s="10" t="n">
        <v>10.03</v>
      </c>
      <c r="F23" s="10" t="n">
        <v>10.029</v>
      </c>
      <c r="G23" s="9" t="n">
        <f aca="false">AVERAGE(B23:F23)</f>
        <v>10.0338</v>
      </c>
      <c r="H23" s="9" t="n">
        <f aca="false">MAX(B23:F23)-MIN(B23:F23)</f>
        <v>0.0260000000000016</v>
      </c>
      <c r="I23" s="9" t="str">
        <f aca="false">IF(OR(G23&gt;$P$1,G23&lt;$P$2),"規則1違反","")</f>
        <v>規則1違反</v>
      </c>
      <c r="R23" s="9" t="n">
        <f aca="false">$M$1</f>
        <v>10.00366</v>
      </c>
      <c r="S23" s="9" t="n">
        <f aca="false">$P$1</f>
        <v>10.02267215</v>
      </c>
      <c r="T23" s="9" t="n">
        <f aca="false">$P$2</f>
        <v>9.98464785</v>
      </c>
    </row>
    <row r="24" customFormat="false" ht="17.15" hidden="false" customHeight="false" outlineLevel="0" collapsed="false">
      <c r="A24" s="12" t="n">
        <v>20</v>
      </c>
      <c r="B24" s="10" t="n">
        <v>10.013</v>
      </c>
      <c r="C24" s="10" t="n">
        <v>10.039</v>
      </c>
      <c r="D24" s="10" t="n">
        <v>10.039</v>
      </c>
      <c r="E24" s="10" t="n">
        <v>10.035</v>
      </c>
      <c r="F24" s="10" t="n">
        <v>10.031</v>
      </c>
      <c r="G24" s="9" t="n">
        <f aca="false">AVERAGE(B24:F24)</f>
        <v>10.0314</v>
      </c>
      <c r="H24" s="9" t="n">
        <f aca="false">MAX(B24:F24)-MIN(B24:F24)</f>
        <v>0.0259999999999998</v>
      </c>
      <c r="I24" s="9" t="str">
        <f aca="false">IF(OR(G24&gt;$P$1,G24&lt;$P$2),"規則1違反","")</f>
        <v>規則1違反</v>
      </c>
      <c r="R24" s="9" t="n">
        <f aca="false">$M$1</f>
        <v>10.00366</v>
      </c>
      <c r="S24" s="9" t="n">
        <f aca="false">$P$1</f>
        <v>10.02267215</v>
      </c>
      <c r="T24" s="9" t="n">
        <f aca="false">$P$2</f>
        <v>9.98464785</v>
      </c>
    </row>
  </sheetData>
  <conditionalFormatting sqref="G5:G24">
    <cfRule type="expression" priority="2" aboveAverage="0" equalAverage="0" bottom="0" percent="0" rank="0" text="" dxfId="0">
      <formula>OR(G5&gt;$P$1,G5&lt;$P$2)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8" t="s">
        <v>45</v>
      </c>
      <c r="B4" s="10" t="n">
        <v>10.06</v>
      </c>
    </row>
    <row r="5" customFormat="false" ht="15" hidden="false" customHeight="false" outlineLevel="0" collapsed="false">
      <c r="A5" s="8" t="s">
        <v>46</v>
      </c>
      <c r="B5" s="10" t="n">
        <v>9.94</v>
      </c>
    </row>
    <row r="6" customFormat="false" ht="17.15" hidden="false" customHeight="false" outlineLevel="0" collapsed="false">
      <c r="A6" s="8" t="s">
        <v>47</v>
      </c>
      <c r="B6" s="9" t="n">
        <f aca="false">01_XbarR管制圖_彈殼直徑!M1</f>
        <v>10.00366</v>
      </c>
    </row>
    <row r="7" customFormat="false" ht="17.15" hidden="false" customHeight="false" outlineLevel="0" collapsed="false">
      <c r="A7" s="8" t="s">
        <v>48</v>
      </c>
      <c r="B7" s="9" t="n">
        <f aca="false">01_XbarR管制圖_彈殼直徑!M2</f>
        <v>0.0329500000000001</v>
      </c>
    </row>
    <row r="8" customFormat="false" ht="15" hidden="false" customHeight="false" outlineLevel="0" collapsed="false">
      <c r="A8" s="8" t="s">
        <v>49</v>
      </c>
      <c r="B8" s="10" t="n">
        <v>2.326</v>
      </c>
    </row>
    <row r="9" customFormat="false" ht="15" hidden="false" customHeight="false" outlineLevel="0" collapsed="false">
      <c r="A9" s="8" t="s">
        <v>50</v>
      </c>
      <c r="B9" s="9" t="n">
        <f aca="false">B7/B8</f>
        <v>0.0141659501289768</v>
      </c>
    </row>
    <row r="11" customFormat="false" ht="15" hidden="false" customHeight="false" outlineLevel="0" collapsed="false">
      <c r="A11" s="8" t="s">
        <v>51</v>
      </c>
      <c r="B11" s="9" t="n">
        <f aca="false">(B4-B5)/(6*B9)</f>
        <v>1.41183611532626</v>
      </c>
    </row>
    <row r="12" customFormat="false" ht="15" hidden="false" customHeight="false" outlineLevel="0" collapsed="false">
      <c r="A12" s="8" t="s">
        <v>52</v>
      </c>
      <c r="B12" s="9" t="n">
        <f aca="false">(B4-B6)/(3*B9)</f>
        <v>1.32571411229136</v>
      </c>
    </row>
    <row r="13" customFormat="false" ht="15" hidden="false" customHeight="false" outlineLevel="0" collapsed="false">
      <c r="A13" s="8" t="s">
        <v>53</v>
      </c>
      <c r="B13" s="9" t="n">
        <f aca="false">(B6-B5)/(3*B9)</f>
        <v>1.49795811836116</v>
      </c>
    </row>
    <row r="14" customFormat="false" ht="15" hidden="false" customHeight="false" outlineLevel="0" collapsed="false">
      <c r="A14" s="8" t="s">
        <v>54</v>
      </c>
      <c r="B14" s="9" t="n">
        <f aca="false">MIN(B12,B13)</f>
        <v>1.32571411229136</v>
      </c>
    </row>
    <row r="16" customFormat="false" ht="17.15" hidden="false" customHeight="false" outlineLevel="0" collapsed="false">
      <c r="A16" s="8" t="s">
        <v>55</v>
      </c>
      <c r="B16" s="9" t="n">
        <f aca="false">STDEV(01_XbarR管制圖_彈殼直徑!B5:F24)</f>
        <v>0.0187262145430172</v>
      </c>
    </row>
    <row r="18" customFormat="false" ht="15" hidden="false" customHeight="false" outlineLevel="0" collapsed="false">
      <c r="A18" s="8" t="s">
        <v>56</v>
      </c>
      <c r="B18" s="9" t="n">
        <f aca="false">(B4-B5)/(6*B16)</f>
        <v>1.06802151358765</v>
      </c>
    </row>
    <row r="19" customFormat="false" ht="15" hidden="false" customHeight="false" outlineLevel="0" collapsed="false">
      <c r="A19" s="8" t="s">
        <v>57</v>
      </c>
      <c r="B19" s="9" t="n">
        <f aca="false">(B4-B6)/(3*B16)</f>
        <v>1.0028722012588</v>
      </c>
    </row>
    <row r="20" customFormat="false" ht="15" hidden="false" customHeight="false" outlineLevel="0" collapsed="false">
      <c r="A20" s="8" t="s">
        <v>58</v>
      </c>
      <c r="B20" s="9" t="n">
        <f aca="false">(B6-B5)/(3*B16)</f>
        <v>1.13317082591649</v>
      </c>
    </row>
    <row r="21" customFormat="false" ht="15" hidden="false" customHeight="false" outlineLevel="0" collapsed="false">
      <c r="A21" s="8" t="s">
        <v>59</v>
      </c>
      <c r="B21" s="9" t="n">
        <f aca="false">MIN(B19,B20)</f>
        <v>1.0028722012588</v>
      </c>
    </row>
    <row r="23" customFormat="false" ht="17.15" hidden="false" customHeight="false" outlineLevel="0" collapsed="false">
      <c r="A23" s="8" t="s">
        <v>60</v>
      </c>
      <c r="B23" s="9" t="str">
        <f aca="false">IF(B14&lt;1,"能力不足",IF(B14&lt;1.33,"尚可",IF(B14&lt;1.67,"良好","優異")))</f>
        <v>尚可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10"/>
  </cols>
  <sheetData>
    <row r="1" customFormat="false" ht="21.6" hidden="false" customHeight="false" outlineLevel="0" collapsed="false">
      <c r="A1" s="1" t="s">
        <v>61</v>
      </c>
      <c r="E1" s="13" t="s">
        <v>62</v>
      </c>
      <c r="F1" s="8" t="s">
        <v>63</v>
      </c>
      <c r="G1" s="9" t="n">
        <f aca="false">SUM(C5:C24)/SUM(B5:B24)</f>
        <v>0.03225</v>
      </c>
    </row>
    <row r="2" customFormat="false" ht="15" hidden="false" customHeight="false" outlineLevel="0" collapsed="false">
      <c r="A2" s="2" t="s">
        <v>64</v>
      </c>
      <c r="F2" s="8" t="s">
        <v>65</v>
      </c>
      <c r="G2" s="9" t="n">
        <f aca="false">G1+3*SQRT(G1*(1-G1)/B5)</f>
        <v>0.069725954791039</v>
      </c>
    </row>
    <row r="3" customFormat="false" ht="15" hidden="false" customHeight="false" outlineLevel="0" collapsed="false">
      <c r="F3" s="8" t="s">
        <v>66</v>
      </c>
      <c r="G3" s="9" t="n">
        <f aca="false">MAX(0,G1-3*SQRT(G1*(1-G1)/B5))</f>
        <v>0</v>
      </c>
    </row>
    <row r="4" customFormat="false" ht="17.15" hidden="false" customHeight="false" outlineLevel="0" collapsed="false">
      <c r="A4" s="3" t="s">
        <v>67</v>
      </c>
      <c r="B4" s="3" t="s">
        <v>68</v>
      </c>
      <c r="C4" s="3" t="s">
        <v>69</v>
      </c>
      <c r="D4" s="3" t="s">
        <v>70</v>
      </c>
    </row>
    <row r="5" customFormat="false" ht="15" hidden="false" customHeight="false" outlineLevel="0" collapsed="false">
      <c r="A5" s="12" t="n">
        <v>1</v>
      </c>
      <c r="B5" s="10" t="n">
        <v>200</v>
      </c>
      <c r="C5" s="10" t="n">
        <v>3</v>
      </c>
      <c r="D5" s="9" t="n">
        <f aca="false">C5/B5</f>
        <v>0.015</v>
      </c>
      <c r="E5" s="9" t="str">
        <f aca="false">IF(OR(D5&gt;$G$2,D5&lt;$G$3),"違反","")</f>
        <v/>
      </c>
    </row>
    <row r="6" customFormat="false" ht="15" hidden="false" customHeight="false" outlineLevel="0" collapsed="false">
      <c r="A6" s="12" t="n">
        <v>2</v>
      </c>
      <c r="B6" s="10" t="n">
        <v>200</v>
      </c>
      <c r="C6" s="10" t="n">
        <v>8</v>
      </c>
      <c r="D6" s="9" t="n">
        <f aca="false">C6/B6</f>
        <v>0.04</v>
      </c>
      <c r="E6" s="9" t="str">
        <f aca="false">IF(OR(D6&gt;$G$2,D6&lt;$G$3),"違反","")</f>
        <v/>
      </c>
    </row>
    <row r="7" customFormat="false" ht="15" hidden="false" customHeight="false" outlineLevel="0" collapsed="false">
      <c r="A7" s="12" t="n">
        <v>3</v>
      </c>
      <c r="B7" s="10" t="n">
        <v>200</v>
      </c>
      <c r="C7" s="10" t="n">
        <v>5</v>
      </c>
      <c r="D7" s="9" t="n">
        <f aca="false">C7/B7</f>
        <v>0.025</v>
      </c>
      <c r="E7" s="9" t="str">
        <f aca="false">IF(OR(D7&gt;$G$2,D7&lt;$G$3),"違反","")</f>
        <v/>
      </c>
    </row>
    <row r="8" customFormat="false" ht="15" hidden="false" customHeight="false" outlineLevel="0" collapsed="false">
      <c r="A8" s="12" t="n">
        <v>4</v>
      </c>
      <c r="B8" s="10" t="n">
        <v>200</v>
      </c>
      <c r="C8" s="10" t="n">
        <v>7</v>
      </c>
      <c r="D8" s="9" t="n">
        <f aca="false">C8/B8</f>
        <v>0.035</v>
      </c>
      <c r="E8" s="9" t="str">
        <f aca="false">IF(OR(D8&gt;$G$2,D8&lt;$G$3),"違反","")</f>
        <v/>
      </c>
    </row>
    <row r="9" customFormat="false" ht="15" hidden="false" customHeight="false" outlineLevel="0" collapsed="false">
      <c r="A9" s="12" t="n">
        <v>5</v>
      </c>
      <c r="B9" s="10" t="n">
        <v>200</v>
      </c>
      <c r="C9" s="10" t="n">
        <v>11</v>
      </c>
      <c r="D9" s="9" t="n">
        <f aca="false">C9/B9</f>
        <v>0.055</v>
      </c>
      <c r="E9" s="9" t="str">
        <f aca="false">IF(OR(D9&gt;$G$2,D9&lt;$G$3),"違反","")</f>
        <v/>
      </c>
    </row>
    <row r="10" customFormat="false" ht="15" hidden="false" customHeight="false" outlineLevel="0" collapsed="false">
      <c r="A10" s="12" t="n">
        <v>6</v>
      </c>
      <c r="B10" s="10" t="n">
        <v>200</v>
      </c>
      <c r="C10" s="10" t="n">
        <v>6</v>
      </c>
      <c r="D10" s="9" t="n">
        <f aca="false">C10/B10</f>
        <v>0.03</v>
      </c>
      <c r="E10" s="9" t="str">
        <f aca="false">IF(OR(D10&gt;$G$2,D10&lt;$G$3),"違反","")</f>
        <v/>
      </c>
    </row>
    <row r="11" customFormat="false" ht="15" hidden="false" customHeight="false" outlineLevel="0" collapsed="false">
      <c r="A11" s="12" t="n">
        <v>7</v>
      </c>
      <c r="B11" s="10" t="n">
        <v>200</v>
      </c>
      <c r="C11" s="10" t="n">
        <v>6</v>
      </c>
      <c r="D11" s="9" t="n">
        <f aca="false">C11/B11</f>
        <v>0.03</v>
      </c>
      <c r="E11" s="9" t="str">
        <f aca="false">IF(OR(D11&gt;$G$2,D11&lt;$G$3),"違反","")</f>
        <v/>
      </c>
    </row>
    <row r="12" customFormat="false" ht="15" hidden="false" customHeight="false" outlineLevel="0" collapsed="false">
      <c r="A12" s="12" t="n">
        <v>8</v>
      </c>
      <c r="B12" s="10" t="n">
        <v>200</v>
      </c>
      <c r="C12" s="10" t="n">
        <v>3</v>
      </c>
      <c r="D12" s="9" t="n">
        <f aca="false">C12/B12</f>
        <v>0.015</v>
      </c>
      <c r="E12" s="9" t="str">
        <f aca="false">IF(OR(D12&gt;$G$2,D12&lt;$G$3),"違反","")</f>
        <v/>
      </c>
    </row>
    <row r="13" customFormat="false" ht="15" hidden="false" customHeight="false" outlineLevel="0" collapsed="false">
      <c r="A13" s="12" t="n">
        <v>9</v>
      </c>
      <c r="B13" s="10" t="n">
        <v>200</v>
      </c>
      <c r="C13" s="10" t="n">
        <v>4</v>
      </c>
      <c r="D13" s="9" t="n">
        <f aca="false">C13/B13</f>
        <v>0.02</v>
      </c>
      <c r="E13" s="9" t="str">
        <f aca="false">IF(OR(D13&gt;$G$2,D13&lt;$G$3),"違反","")</f>
        <v/>
      </c>
    </row>
    <row r="14" customFormat="false" ht="15" hidden="false" customHeight="false" outlineLevel="0" collapsed="false">
      <c r="A14" s="12" t="n">
        <v>10</v>
      </c>
      <c r="B14" s="10" t="n">
        <v>200</v>
      </c>
      <c r="C14" s="10" t="n">
        <v>6</v>
      </c>
      <c r="D14" s="9" t="n">
        <f aca="false">C14/B14</f>
        <v>0.03</v>
      </c>
      <c r="E14" s="9" t="str">
        <f aca="false">IF(OR(D14&gt;$G$2,D14&lt;$G$3),"違反","")</f>
        <v/>
      </c>
    </row>
    <row r="15" customFormat="false" ht="15" hidden="false" customHeight="false" outlineLevel="0" collapsed="false">
      <c r="A15" s="12" t="n">
        <v>11</v>
      </c>
      <c r="B15" s="10" t="n">
        <v>200</v>
      </c>
      <c r="C15" s="10" t="n">
        <v>7</v>
      </c>
      <c r="D15" s="9" t="n">
        <f aca="false">C15/B15</f>
        <v>0.035</v>
      </c>
      <c r="E15" s="9" t="str">
        <f aca="false">IF(OR(D15&gt;$G$2,D15&lt;$G$3),"違反","")</f>
        <v/>
      </c>
    </row>
    <row r="16" customFormat="false" ht="15" hidden="false" customHeight="false" outlineLevel="0" collapsed="false">
      <c r="A16" s="12" t="n">
        <v>12</v>
      </c>
      <c r="B16" s="10" t="n">
        <v>200</v>
      </c>
      <c r="C16" s="10" t="n">
        <v>8</v>
      </c>
      <c r="D16" s="9" t="n">
        <f aca="false">C16/B16</f>
        <v>0.04</v>
      </c>
      <c r="E16" s="9" t="str">
        <f aca="false">IF(OR(D16&gt;$G$2,D16&lt;$G$3),"違反","")</f>
        <v/>
      </c>
    </row>
    <row r="17" customFormat="false" ht="15" hidden="false" customHeight="false" outlineLevel="0" collapsed="false">
      <c r="A17" s="12" t="n">
        <v>13</v>
      </c>
      <c r="B17" s="10" t="n">
        <v>200</v>
      </c>
      <c r="C17" s="10" t="n">
        <v>5</v>
      </c>
      <c r="D17" s="9" t="n">
        <f aca="false">C17/B17</f>
        <v>0.025</v>
      </c>
      <c r="E17" s="9" t="str">
        <f aca="false">IF(OR(D17&gt;$G$2,D17&lt;$G$3),"違反","")</f>
        <v/>
      </c>
    </row>
    <row r="18" customFormat="false" ht="15" hidden="false" customHeight="false" outlineLevel="0" collapsed="false">
      <c r="A18" s="12" t="n">
        <v>14</v>
      </c>
      <c r="B18" s="10" t="n">
        <v>200</v>
      </c>
      <c r="C18" s="10" t="n">
        <v>3</v>
      </c>
      <c r="D18" s="9" t="n">
        <f aca="false">C18/B18</f>
        <v>0.015</v>
      </c>
      <c r="E18" s="9" t="str">
        <f aca="false">IF(OR(D18&gt;$G$2,D18&lt;$G$3),"違反","")</f>
        <v/>
      </c>
    </row>
    <row r="19" customFormat="false" ht="15" hidden="false" customHeight="false" outlineLevel="0" collapsed="false">
      <c r="A19" s="12" t="n">
        <v>15</v>
      </c>
      <c r="B19" s="10" t="n">
        <v>200</v>
      </c>
      <c r="C19" s="10" t="n">
        <v>16</v>
      </c>
      <c r="D19" s="9" t="n">
        <f aca="false">C19/B19</f>
        <v>0.08</v>
      </c>
      <c r="E19" s="9" t="str">
        <f aca="false">IF(OR(D19&gt;$G$2,D19&lt;$G$3),"違反","")</f>
        <v>違反</v>
      </c>
    </row>
    <row r="20" customFormat="false" ht="15" hidden="false" customHeight="false" outlineLevel="0" collapsed="false">
      <c r="A20" s="12" t="n">
        <v>16</v>
      </c>
      <c r="B20" s="10" t="n">
        <v>200</v>
      </c>
      <c r="C20" s="10" t="n">
        <v>9</v>
      </c>
      <c r="D20" s="9" t="n">
        <f aca="false">C20/B20</f>
        <v>0.045</v>
      </c>
      <c r="E20" s="9" t="str">
        <f aca="false">IF(OR(D20&gt;$G$2,D20&lt;$G$3),"違反","")</f>
        <v/>
      </c>
    </row>
    <row r="21" customFormat="false" ht="15" hidden="false" customHeight="false" outlineLevel="0" collapsed="false">
      <c r="A21" s="12" t="n">
        <v>17</v>
      </c>
      <c r="B21" s="10" t="n">
        <v>200</v>
      </c>
      <c r="C21" s="10" t="n">
        <v>4</v>
      </c>
      <c r="D21" s="9" t="n">
        <f aca="false">C21/B21</f>
        <v>0.02</v>
      </c>
      <c r="E21" s="9" t="str">
        <f aca="false">IF(OR(D21&gt;$G$2,D21&lt;$G$3),"違反","")</f>
        <v/>
      </c>
    </row>
    <row r="22" customFormat="false" ht="15" hidden="false" customHeight="false" outlineLevel="0" collapsed="false">
      <c r="A22" s="12" t="n">
        <v>18</v>
      </c>
      <c r="B22" s="10" t="n">
        <v>200</v>
      </c>
      <c r="C22" s="10" t="n">
        <v>6</v>
      </c>
      <c r="D22" s="9" t="n">
        <f aca="false">C22/B22</f>
        <v>0.03</v>
      </c>
      <c r="E22" s="9" t="str">
        <f aca="false">IF(OR(D22&gt;$G$2,D22&lt;$G$3),"違反","")</f>
        <v/>
      </c>
    </row>
    <row r="23" customFormat="false" ht="15" hidden="false" customHeight="false" outlineLevel="0" collapsed="false">
      <c r="A23" s="12" t="n">
        <v>19</v>
      </c>
      <c r="B23" s="10" t="n">
        <v>200</v>
      </c>
      <c r="C23" s="10" t="n">
        <v>10</v>
      </c>
      <c r="D23" s="9" t="n">
        <f aca="false">C23/B23</f>
        <v>0.05</v>
      </c>
      <c r="E23" s="9" t="str">
        <f aca="false">IF(OR(D23&gt;$G$2,D23&lt;$G$3),"違反","")</f>
        <v/>
      </c>
    </row>
    <row r="24" customFormat="false" ht="15" hidden="false" customHeight="false" outlineLevel="0" collapsed="false">
      <c r="A24" s="12" t="n">
        <v>20</v>
      </c>
      <c r="B24" s="10" t="n">
        <v>200</v>
      </c>
      <c r="C24" s="10" t="n">
        <v>2</v>
      </c>
      <c r="D24" s="9" t="n">
        <f aca="false">C24/B24</f>
        <v>0.01</v>
      </c>
      <c r="E24" s="9" t="str">
        <f aca="false">IF(OR(D24&gt;$G$2,D24&lt;$G$3),"違反","")</f>
        <v/>
      </c>
    </row>
  </sheetData>
  <conditionalFormatting sqref="D5:D24">
    <cfRule type="expression" priority="2" aboveAverage="0" equalAverage="0" bottom="0" percent="0" rank="0" text="" dxfId="0">
      <formula>OR(D5&gt;$G$2,D5&lt;$G$3)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0"/>
  </cols>
  <sheetData>
    <row r="1" customFormat="false" ht="21.6" hidden="false" customHeight="false" outlineLevel="0" collapsed="false">
      <c r="A1" s="1" t="s">
        <v>71</v>
      </c>
      <c r="D1" s="8" t="s">
        <v>72</v>
      </c>
      <c r="E1" s="9" t="n">
        <f aca="false">AVERAGE(B5:B24)</f>
        <v>3.25</v>
      </c>
    </row>
    <row r="2" customFormat="false" ht="15" hidden="false" customHeight="false" outlineLevel="0" collapsed="false">
      <c r="A2" s="2" t="s">
        <v>73</v>
      </c>
      <c r="D2" s="8" t="s">
        <v>65</v>
      </c>
      <c r="E2" s="9" t="n">
        <f aca="false">E1+3*SQRT(E1)</f>
        <v>8.65832691319598</v>
      </c>
    </row>
    <row r="3" customFormat="false" ht="15" hidden="false" customHeight="false" outlineLevel="0" collapsed="false">
      <c r="D3" s="8" t="s">
        <v>66</v>
      </c>
      <c r="E3" s="9" t="n">
        <f aca="false">MAX(0,E1-3*SQRT(E1))</f>
        <v>0</v>
      </c>
    </row>
    <row r="4" customFormat="false" ht="17.15" hidden="false" customHeight="false" outlineLevel="0" collapsed="false">
      <c r="A4" s="3" t="s">
        <v>74</v>
      </c>
      <c r="B4" s="3" t="s">
        <v>75</v>
      </c>
      <c r="C4" s="13" t="s">
        <v>62</v>
      </c>
    </row>
    <row r="5" customFormat="false" ht="15" hidden="false" customHeight="false" outlineLevel="0" collapsed="false">
      <c r="A5" s="12" t="n">
        <v>1</v>
      </c>
      <c r="B5" s="10" t="n">
        <v>1</v>
      </c>
      <c r="C5" s="9" t="str">
        <f aca="false">IF(OR(B5&gt;$E$2,B5&lt;$E$3),"違反","")</f>
        <v/>
      </c>
    </row>
    <row r="6" customFormat="false" ht="15" hidden="false" customHeight="false" outlineLevel="0" collapsed="false">
      <c r="A6" s="12" t="n">
        <v>2</v>
      </c>
      <c r="B6" s="10" t="n">
        <v>4</v>
      </c>
      <c r="C6" s="9" t="str">
        <f aca="false">IF(OR(B6&gt;$E$2,B6&lt;$E$3),"違反","")</f>
        <v/>
      </c>
    </row>
    <row r="7" customFormat="false" ht="15" hidden="false" customHeight="false" outlineLevel="0" collapsed="false">
      <c r="A7" s="12" t="n">
        <v>3</v>
      </c>
      <c r="B7" s="10" t="n">
        <v>4</v>
      </c>
      <c r="C7" s="9" t="str">
        <f aca="false">IF(OR(B7&gt;$E$2,B7&lt;$E$3),"違反","")</f>
        <v/>
      </c>
    </row>
    <row r="8" customFormat="false" ht="15" hidden="false" customHeight="false" outlineLevel="0" collapsed="false">
      <c r="A8" s="12" t="n">
        <v>4</v>
      </c>
      <c r="B8" s="10" t="n">
        <v>4</v>
      </c>
      <c r="C8" s="9" t="str">
        <f aca="false">IF(OR(B8&gt;$E$2,B8&lt;$E$3),"違反","")</f>
        <v/>
      </c>
    </row>
    <row r="9" customFormat="false" ht="15" hidden="false" customHeight="false" outlineLevel="0" collapsed="false">
      <c r="A9" s="12" t="n">
        <v>5</v>
      </c>
      <c r="B9" s="10" t="n">
        <v>1</v>
      </c>
      <c r="C9" s="9" t="str">
        <f aca="false">IF(OR(B9&gt;$E$2,B9&lt;$E$3),"違反","")</f>
        <v/>
      </c>
    </row>
    <row r="10" customFormat="false" ht="15" hidden="false" customHeight="false" outlineLevel="0" collapsed="false">
      <c r="A10" s="12" t="n">
        <v>6</v>
      </c>
      <c r="B10" s="10" t="n">
        <v>3</v>
      </c>
      <c r="C10" s="9" t="str">
        <f aca="false">IF(OR(B10&gt;$E$2,B10&lt;$E$3),"違反","")</f>
        <v/>
      </c>
    </row>
    <row r="11" customFormat="false" ht="15" hidden="false" customHeight="false" outlineLevel="0" collapsed="false">
      <c r="A11" s="12" t="n">
        <v>7</v>
      </c>
      <c r="B11" s="10" t="n">
        <v>1</v>
      </c>
      <c r="C11" s="9" t="str">
        <f aca="false">IF(OR(B11&gt;$E$2,B11&lt;$E$3),"違反","")</f>
        <v/>
      </c>
    </row>
    <row r="12" customFormat="false" ht="15" hidden="false" customHeight="false" outlineLevel="0" collapsed="false">
      <c r="A12" s="12" t="n">
        <v>8</v>
      </c>
      <c r="B12" s="10" t="n">
        <v>2</v>
      </c>
      <c r="C12" s="9" t="str">
        <f aca="false">IF(OR(B12&gt;$E$2,B12&lt;$E$3),"違反","")</f>
        <v/>
      </c>
    </row>
    <row r="13" customFormat="false" ht="15" hidden="false" customHeight="false" outlineLevel="0" collapsed="false">
      <c r="A13" s="12" t="n">
        <v>9</v>
      </c>
      <c r="B13" s="10" t="n">
        <v>1</v>
      </c>
      <c r="C13" s="9" t="str">
        <f aca="false">IF(OR(B13&gt;$E$2,B13&lt;$E$3),"違反","")</f>
        <v/>
      </c>
    </row>
    <row r="14" customFormat="false" ht="15" hidden="false" customHeight="false" outlineLevel="0" collapsed="false">
      <c r="A14" s="12" t="n">
        <v>10</v>
      </c>
      <c r="B14" s="10" t="n">
        <v>7</v>
      </c>
      <c r="C14" s="9" t="str">
        <f aca="false">IF(OR(B14&gt;$E$2,B14&lt;$E$3),"違反","")</f>
        <v/>
      </c>
    </row>
    <row r="15" customFormat="false" ht="15" hidden="false" customHeight="false" outlineLevel="0" collapsed="false">
      <c r="A15" s="12" t="n">
        <v>11</v>
      </c>
      <c r="B15" s="10" t="n">
        <v>2</v>
      </c>
      <c r="C15" s="9" t="str">
        <f aca="false">IF(OR(B15&gt;$E$2,B15&lt;$E$3),"違反","")</f>
        <v/>
      </c>
    </row>
    <row r="16" customFormat="false" ht="15" hidden="false" customHeight="false" outlineLevel="0" collapsed="false">
      <c r="A16" s="12" t="n">
        <v>12</v>
      </c>
      <c r="B16" s="10" t="n">
        <v>1</v>
      </c>
      <c r="C16" s="9" t="str">
        <f aca="false">IF(OR(B16&gt;$E$2,B16&lt;$E$3),"違反","")</f>
        <v/>
      </c>
    </row>
    <row r="17" customFormat="false" ht="15" hidden="false" customHeight="false" outlineLevel="0" collapsed="false">
      <c r="A17" s="12" t="n">
        <v>13</v>
      </c>
      <c r="B17" s="10" t="n">
        <v>1</v>
      </c>
      <c r="C17" s="9" t="str">
        <f aca="false">IF(OR(B17&gt;$E$2,B17&lt;$E$3),"違反","")</f>
        <v/>
      </c>
    </row>
    <row r="18" customFormat="false" ht="15" hidden="false" customHeight="false" outlineLevel="0" collapsed="false">
      <c r="A18" s="12" t="n">
        <v>14</v>
      </c>
      <c r="B18" s="10" t="n">
        <v>6</v>
      </c>
      <c r="C18" s="9" t="str">
        <f aca="false">IF(OR(B18&gt;$E$2,B18&lt;$E$3),"違反","")</f>
        <v/>
      </c>
    </row>
    <row r="19" customFormat="false" ht="15" hidden="false" customHeight="false" outlineLevel="0" collapsed="false">
      <c r="A19" s="12" t="n">
        <v>15</v>
      </c>
      <c r="B19" s="10" t="n">
        <v>3</v>
      </c>
      <c r="C19" s="9" t="str">
        <f aca="false">IF(OR(B19&gt;$E$2,B19&lt;$E$3),"違反","")</f>
        <v/>
      </c>
    </row>
    <row r="20" customFormat="false" ht="15" hidden="false" customHeight="false" outlineLevel="0" collapsed="false">
      <c r="A20" s="12" t="n">
        <v>16</v>
      </c>
      <c r="B20" s="10" t="n">
        <v>0</v>
      </c>
      <c r="C20" s="9" t="str">
        <f aca="false">IF(OR(B20&gt;$E$2,B20&lt;$E$3),"違反","")</f>
        <v/>
      </c>
    </row>
    <row r="21" customFormat="false" ht="15" hidden="false" customHeight="false" outlineLevel="0" collapsed="false">
      <c r="A21" s="12" t="n">
        <v>17</v>
      </c>
      <c r="B21" s="10" t="n">
        <v>16</v>
      </c>
      <c r="C21" s="9" t="str">
        <f aca="false">IF(OR(B21&gt;$E$2,B21&lt;$E$3),"違反","")</f>
        <v>違反</v>
      </c>
    </row>
    <row r="22" customFormat="false" ht="15" hidden="false" customHeight="false" outlineLevel="0" collapsed="false">
      <c r="A22" s="12" t="n">
        <v>18</v>
      </c>
      <c r="B22" s="10" t="n">
        <v>3</v>
      </c>
      <c r="C22" s="9" t="str">
        <f aca="false">IF(OR(B22&gt;$E$2,B22&lt;$E$3),"違反","")</f>
        <v/>
      </c>
    </row>
    <row r="23" customFormat="false" ht="15" hidden="false" customHeight="false" outlineLevel="0" collapsed="false">
      <c r="A23" s="12" t="n">
        <v>19</v>
      </c>
      <c r="B23" s="10" t="n">
        <v>0</v>
      </c>
      <c r="C23" s="9" t="str">
        <f aca="false">IF(OR(B23&gt;$E$2,B23&lt;$E$3),"違反","")</f>
        <v/>
      </c>
    </row>
    <row r="24" customFormat="false" ht="15" hidden="false" customHeight="false" outlineLevel="0" collapsed="false">
      <c r="A24" s="12" t="n">
        <v>20</v>
      </c>
      <c r="B24" s="10" t="n">
        <v>5</v>
      </c>
      <c r="C24" s="9" t="str">
        <f aca="false">IF(OR(B24&gt;$E$2,B24&lt;$E$3),"違反","")</f>
        <v/>
      </c>
    </row>
  </sheetData>
  <conditionalFormatting sqref="B5:B24">
    <cfRule type="expression" priority="2" aboveAverage="0" equalAverage="0" bottom="0" percent="0" rank="0" text="" dxfId="0">
      <formula>OR(B5&gt;$E$2,B5&lt;$E$3)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9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4" min="13" style="0" width="10"/>
  </cols>
  <sheetData>
    <row r="1" customFormat="false" ht="21.6" hidden="false" customHeight="false" outlineLevel="0" collapsed="false">
      <c r="A1" s="1" t="s">
        <v>76</v>
      </c>
      <c r="J1" s="8" t="s">
        <v>47</v>
      </c>
      <c r="K1" s="9" t="n">
        <f aca="false">AVERAGE(F5:F16)</f>
        <v>15.05075</v>
      </c>
      <c r="M1" s="8" t="s">
        <v>22</v>
      </c>
      <c r="N1" s="9" t="n">
        <f aca="false">K1+K3*K2</f>
        <v>15.19187225</v>
      </c>
    </row>
    <row r="2" customFormat="false" ht="17.15" hidden="false" customHeight="false" outlineLevel="0" collapsed="false">
      <c r="A2" s="2" t="s">
        <v>77</v>
      </c>
      <c r="J2" s="8" t="s">
        <v>48</v>
      </c>
      <c r="K2" s="9" t="n">
        <f aca="false">AVERAGE(G5:G16)</f>
        <v>0.193583333333334</v>
      </c>
      <c r="M2" s="8" t="s">
        <v>25</v>
      </c>
      <c r="N2" s="9" t="n">
        <f aca="false">K1-K3*K2</f>
        <v>14.90962775</v>
      </c>
    </row>
    <row r="3" customFormat="false" ht="15" hidden="false" customHeight="false" outlineLevel="0" collapsed="false">
      <c r="J3" s="8" t="s">
        <v>78</v>
      </c>
      <c r="K3" s="10" t="n">
        <v>0.729</v>
      </c>
      <c r="M3" s="8" t="s">
        <v>27</v>
      </c>
      <c r="N3" s="9" t="n">
        <f aca="false">K4*K2</f>
        <v>0.441757166666667</v>
      </c>
    </row>
    <row r="4" customFormat="false" ht="17.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11" t="s">
        <v>34</v>
      </c>
      <c r="G4" s="11" t="s">
        <v>35</v>
      </c>
      <c r="H4" s="3" t="s">
        <v>36</v>
      </c>
      <c r="J4" s="8" t="s">
        <v>79</v>
      </c>
      <c r="K4" s="10" t="n">
        <v>2.282</v>
      </c>
      <c r="M4" s="8" t="s">
        <v>38</v>
      </c>
      <c r="N4" s="9" t="n">
        <f aca="false">0*K2</f>
        <v>0</v>
      </c>
    </row>
    <row r="5" customFormat="false" ht="15" hidden="false" customHeight="false" outlineLevel="0" collapsed="false">
      <c r="A5" s="12" t="n">
        <v>1</v>
      </c>
      <c r="B5" s="10" t="n">
        <v>14.913</v>
      </c>
      <c r="C5" s="10" t="n">
        <v>15.08</v>
      </c>
      <c r="D5" s="10" t="n">
        <v>15.023</v>
      </c>
      <c r="E5" s="10" t="n">
        <v>14.879</v>
      </c>
      <c r="F5" s="9" t="n">
        <f aca="false">AVERAGE(B5:E5)</f>
        <v>14.97375</v>
      </c>
      <c r="G5" s="9" t="n">
        <f aca="false">MAX(B5:E5)-MIN(B5:E5)</f>
        <v>0.201000000000001</v>
      </c>
      <c r="H5" s="9" t="str">
        <f aca="false">IF(OR(F5&gt;$N$1,F5&lt;$N$2),"規則1違反","")</f>
        <v/>
      </c>
    </row>
    <row r="6" customFormat="false" ht="15" hidden="false" customHeight="false" outlineLevel="0" collapsed="false">
      <c r="A6" s="12" t="n">
        <v>2</v>
      </c>
      <c r="B6" s="10" t="n">
        <v>14.954</v>
      </c>
      <c r="C6" s="10" t="n">
        <v>15.132</v>
      </c>
      <c r="D6" s="10" t="n">
        <v>14.806</v>
      </c>
      <c r="E6" s="10" t="n">
        <v>14.966</v>
      </c>
      <c r="F6" s="9" t="n">
        <f aca="false">AVERAGE(B6:E6)</f>
        <v>14.9645</v>
      </c>
      <c r="G6" s="9" t="n">
        <f aca="false">MAX(B6:E6)-MIN(B6:E6)</f>
        <v>0.326000000000001</v>
      </c>
      <c r="H6" s="9" t="str">
        <f aca="false">IF(OR(F6&gt;$N$1,F6&lt;$N$2),"規則1違反","")</f>
        <v/>
      </c>
    </row>
    <row r="7" customFormat="false" ht="15" hidden="false" customHeight="false" outlineLevel="0" collapsed="false">
      <c r="A7" s="12" t="n">
        <v>3</v>
      </c>
      <c r="B7" s="10" t="n">
        <v>15.101</v>
      </c>
      <c r="C7" s="10" t="n">
        <v>14.931</v>
      </c>
      <c r="D7" s="10" t="n">
        <v>14.946</v>
      </c>
      <c r="E7" s="10" t="n">
        <v>14.992</v>
      </c>
      <c r="F7" s="9" t="n">
        <f aca="false">AVERAGE(B7:E7)</f>
        <v>14.9925</v>
      </c>
      <c r="G7" s="9" t="n">
        <f aca="false">MAX(B7:E7)-MIN(B7:E7)</f>
        <v>0.170000000000002</v>
      </c>
      <c r="H7" s="9" t="str">
        <f aca="false">IF(OR(F7&gt;$N$1,F7&lt;$N$2),"規則1違反","")</f>
        <v/>
      </c>
    </row>
    <row r="8" customFormat="false" ht="15" hidden="false" customHeight="false" outlineLevel="0" collapsed="false">
      <c r="A8" s="12" t="n">
        <v>4</v>
      </c>
      <c r="B8" s="10" t="n">
        <v>15.119</v>
      </c>
      <c r="C8" s="10" t="n">
        <v>14.949</v>
      </c>
      <c r="D8" s="10" t="n">
        <v>14.964</v>
      </c>
      <c r="E8" s="10" t="n">
        <v>14.965</v>
      </c>
      <c r="F8" s="9" t="n">
        <f aca="false">AVERAGE(B8:E8)</f>
        <v>14.99925</v>
      </c>
      <c r="G8" s="9" t="n">
        <f aca="false">MAX(B8:E8)-MIN(B8:E8)</f>
        <v>0.17</v>
      </c>
      <c r="H8" s="9" t="str">
        <f aca="false">IF(OR(F8&gt;$N$1,F8&lt;$N$2),"規則1違反","")</f>
        <v/>
      </c>
    </row>
    <row r="9" customFormat="false" ht="15" hidden="false" customHeight="false" outlineLevel="0" collapsed="false">
      <c r="A9" s="12" t="n">
        <v>5</v>
      </c>
      <c r="B9" s="10" t="n">
        <v>15.176</v>
      </c>
      <c r="C9" s="10" t="n">
        <v>15.175</v>
      </c>
      <c r="D9" s="10" t="n">
        <v>15.08</v>
      </c>
      <c r="E9" s="10" t="n">
        <v>15.031</v>
      </c>
      <c r="F9" s="9" t="n">
        <f aca="false">AVERAGE(B9:E9)</f>
        <v>15.1155</v>
      </c>
      <c r="G9" s="9" t="n">
        <f aca="false">MAX(B9:E9)-MIN(B9:E9)</f>
        <v>0.145</v>
      </c>
      <c r="H9" s="9" t="str">
        <f aca="false">IF(OR(F9&gt;$N$1,F9&lt;$N$2),"規則1違反","")</f>
        <v/>
      </c>
    </row>
    <row r="10" customFormat="false" ht="15" hidden="false" customHeight="false" outlineLevel="0" collapsed="false">
      <c r="A10" s="12" t="n">
        <v>6</v>
      </c>
      <c r="B10" s="10" t="n">
        <v>15.059</v>
      </c>
      <c r="C10" s="10" t="n">
        <v>15.119</v>
      </c>
      <c r="D10" s="10" t="n">
        <v>14.925</v>
      </c>
      <c r="E10" s="10" t="n">
        <v>15.094</v>
      </c>
      <c r="F10" s="9" t="n">
        <f aca="false">AVERAGE(B10:E10)</f>
        <v>15.04925</v>
      </c>
      <c r="G10" s="9" t="n">
        <f aca="false">MAX(B10:E10)-MIN(B10:E10)</f>
        <v>0.193999999999999</v>
      </c>
      <c r="H10" s="9" t="str">
        <f aca="false">IF(OR(F10&gt;$N$1,F10&lt;$N$2),"規則1違反","")</f>
        <v/>
      </c>
    </row>
    <row r="11" customFormat="false" ht="15" hidden="false" customHeight="false" outlineLevel="0" collapsed="false">
      <c r="A11" s="12" t="n">
        <v>7</v>
      </c>
      <c r="B11" s="10" t="n">
        <v>14.9</v>
      </c>
      <c r="C11" s="10" t="n">
        <v>14.949</v>
      </c>
      <c r="D11" s="10" t="n">
        <v>15.073</v>
      </c>
      <c r="E11" s="10" t="n">
        <v>14.886</v>
      </c>
      <c r="F11" s="9" t="n">
        <f aca="false">AVERAGE(B11:E11)</f>
        <v>14.952</v>
      </c>
      <c r="G11" s="9" t="n">
        <f aca="false">MAX(B11:E11)-MIN(B11:E11)</f>
        <v>0.187000000000001</v>
      </c>
      <c r="H11" s="9" t="str">
        <f aca="false">IF(OR(F11&gt;$N$1,F11&lt;$N$2),"規則1違反","")</f>
        <v/>
      </c>
    </row>
    <row r="12" customFormat="false" ht="15" hidden="false" customHeight="false" outlineLevel="0" collapsed="false">
      <c r="A12" s="12" t="n">
        <v>8</v>
      </c>
      <c r="B12" s="10" t="n">
        <v>14.989</v>
      </c>
      <c r="C12" s="10" t="n">
        <v>14.931</v>
      </c>
      <c r="D12" s="10" t="n">
        <v>14.98</v>
      </c>
      <c r="E12" s="10" t="n">
        <v>14.776</v>
      </c>
      <c r="F12" s="9" t="n">
        <f aca="false">AVERAGE(B12:E12)</f>
        <v>14.919</v>
      </c>
      <c r="G12" s="9" t="n">
        <f aca="false">MAX(B12:E12)-MIN(B12:E12)</f>
        <v>0.213000000000001</v>
      </c>
      <c r="H12" s="9" t="str">
        <f aca="false">IF(OR(F12&gt;$N$1,F12&lt;$N$2),"規則1違反","")</f>
        <v/>
      </c>
    </row>
    <row r="13" customFormat="false" ht="15" hidden="false" customHeight="false" outlineLevel="0" collapsed="false">
      <c r="A13" s="12" t="n">
        <v>9</v>
      </c>
      <c r="B13" s="10" t="n">
        <v>14.858</v>
      </c>
      <c r="C13" s="10" t="n">
        <v>14.944</v>
      </c>
      <c r="D13" s="10" t="n">
        <v>15.074</v>
      </c>
      <c r="E13" s="10" t="n">
        <v>14.986</v>
      </c>
      <c r="F13" s="9" t="n">
        <f aca="false">AVERAGE(B13:E13)</f>
        <v>14.9655</v>
      </c>
      <c r="G13" s="9" t="n">
        <f aca="false">MAX(B13:E13)-MIN(B13:E13)</f>
        <v>0.215999999999999</v>
      </c>
      <c r="H13" s="9" t="str">
        <f aca="false">IF(OR(F13&gt;$N$1,F13&lt;$N$2),"規則1違反","")</f>
        <v/>
      </c>
    </row>
    <row r="14" customFormat="false" ht="17.15" hidden="false" customHeight="false" outlineLevel="0" collapsed="false">
      <c r="A14" s="12" t="n">
        <v>10</v>
      </c>
      <c r="B14" s="10" t="n">
        <v>15.22</v>
      </c>
      <c r="C14" s="10" t="n">
        <v>15.275</v>
      </c>
      <c r="D14" s="10" t="n">
        <v>15.15</v>
      </c>
      <c r="E14" s="10" t="n">
        <v>15.243</v>
      </c>
      <c r="F14" s="9" t="n">
        <f aca="false">AVERAGE(B14:E14)</f>
        <v>15.222</v>
      </c>
      <c r="G14" s="9" t="n">
        <f aca="false">MAX(B14:E14)-MIN(B14:E14)</f>
        <v>0.125</v>
      </c>
      <c r="H14" s="9" t="str">
        <f aca="false">IF(OR(F14&gt;$N$1,F14&lt;$N$2),"規則1違反","")</f>
        <v>規則1違反</v>
      </c>
    </row>
    <row r="15" customFormat="false" ht="15" hidden="false" customHeight="false" outlineLevel="0" collapsed="false">
      <c r="A15" s="12" t="n">
        <v>11</v>
      </c>
      <c r="B15" s="10" t="n">
        <v>15.156</v>
      </c>
      <c r="C15" s="10" t="n">
        <v>15.082</v>
      </c>
      <c r="D15" s="10" t="n">
        <v>15.189</v>
      </c>
      <c r="E15" s="10" t="n">
        <v>15.266</v>
      </c>
      <c r="F15" s="9" t="n">
        <f aca="false">AVERAGE(B15:E15)</f>
        <v>15.17325</v>
      </c>
      <c r="G15" s="9" t="n">
        <f aca="false">MAX(B15:E15)-MIN(B15:E15)</f>
        <v>0.183999999999999</v>
      </c>
      <c r="H15" s="9" t="str">
        <f aca="false">IF(OR(F15&gt;$N$1,F15&lt;$N$2),"規則1違反","")</f>
        <v/>
      </c>
    </row>
    <row r="16" customFormat="false" ht="17.15" hidden="false" customHeight="false" outlineLevel="0" collapsed="false">
      <c r="A16" s="12" t="n">
        <v>12</v>
      </c>
      <c r="B16" s="10" t="n">
        <v>15.247</v>
      </c>
      <c r="C16" s="10" t="n">
        <v>15.219</v>
      </c>
      <c r="D16" s="10" t="n">
        <v>15.411</v>
      </c>
      <c r="E16" s="10" t="n">
        <v>15.253</v>
      </c>
      <c r="F16" s="9" t="n">
        <f aca="false">AVERAGE(B16:E16)</f>
        <v>15.2825</v>
      </c>
      <c r="G16" s="9" t="n">
        <f aca="false">MAX(B16:E16)-MIN(B16:E16)</f>
        <v>0.192</v>
      </c>
      <c r="H16" s="9" t="str">
        <f aca="false">IF(OR(F16&gt;$N$1,F16&lt;$N$2),"規則1違反","")</f>
        <v>規則1違反</v>
      </c>
    </row>
  </sheetData>
  <conditionalFormatting sqref="F5:F16">
    <cfRule type="expression" priority="2" aboveAverage="0" equalAverage="0" bottom="0" percent="0" rank="0" text="" dxfId="0">
      <formula>OR(F5&gt;$N$1,F5&lt;$N$2)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1"/>
    <col collapsed="false" customWidth="true" hidden="false" outlineLevel="0" max="5" min="4" style="0" width="10"/>
    <col collapsed="false" customWidth="true" hidden="false" outlineLevel="0" max="6" min="6" style="0" width="3"/>
    <col collapsed="false" customWidth="true" hidden="false" outlineLevel="0" max="7" min="7" style="0" width="10"/>
  </cols>
  <sheetData>
    <row r="1" customFormat="false" ht="21.6" hidden="false" customHeight="false" outlineLevel="0" collapsed="false">
      <c r="A1" s="1" t="s">
        <v>80</v>
      </c>
      <c r="F1" s="8" t="s">
        <v>63</v>
      </c>
      <c r="G1" s="9" t="n">
        <f aca="false">SUM(C5:C19)/SUM(B5:B19)</f>
        <v>0.028</v>
      </c>
    </row>
    <row r="2" customFormat="false" ht="15" hidden="false" customHeight="false" outlineLevel="0" collapsed="false">
      <c r="A2" s="2" t="s">
        <v>81</v>
      </c>
      <c r="F2" s="8" t="s">
        <v>65</v>
      </c>
      <c r="G2" s="9" t="n">
        <f aca="false">G1+3*SQRT(G1*(1-G1)/B5)</f>
        <v>0.0684098997771586</v>
      </c>
    </row>
    <row r="3" customFormat="false" ht="15" hidden="false" customHeight="false" outlineLevel="0" collapsed="false">
      <c r="F3" s="8" t="s">
        <v>66</v>
      </c>
      <c r="G3" s="9" t="n">
        <f aca="false">MAX(0,G1-3*SQRT(G1*(1-G1)/B5))</f>
        <v>0</v>
      </c>
    </row>
    <row r="4" customFormat="false" ht="17.15" hidden="false" customHeight="false" outlineLevel="0" collapsed="false">
      <c r="A4" s="3" t="s">
        <v>67</v>
      </c>
      <c r="B4" s="3" t="s">
        <v>68</v>
      </c>
      <c r="C4" s="3" t="s">
        <v>82</v>
      </c>
      <c r="D4" s="3" t="s">
        <v>70</v>
      </c>
      <c r="E4" s="3" t="s">
        <v>62</v>
      </c>
    </row>
    <row r="5" customFormat="false" ht="15" hidden="false" customHeight="false" outlineLevel="0" collapsed="false">
      <c r="A5" s="12" t="n">
        <v>1</v>
      </c>
      <c r="B5" s="10" t="n">
        <v>150</v>
      </c>
      <c r="C5" s="10" t="n">
        <v>1</v>
      </c>
      <c r="D5" s="9" t="n">
        <f aca="false">C5/B5</f>
        <v>0.00666666666666667</v>
      </c>
      <c r="E5" s="9" t="str">
        <f aca="false">IF(OR(D5&gt;$G$2,D5&lt;$G$3),"違反","")</f>
        <v/>
      </c>
    </row>
    <row r="6" customFormat="false" ht="15" hidden="false" customHeight="false" outlineLevel="0" collapsed="false">
      <c r="A6" s="12" t="n">
        <v>2</v>
      </c>
      <c r="B6" s="10" t="n">
        <v>150</v>
      </c>
      <c r="C6" s="10" t="n">
        <v>8</v>
      </c>
      <c r="D6" s="9" t="n">
        <f aca="false">C6/B6</f>
        <v>0.0533333333333333</v>
      </c>
      <c r="E6" s="9" t="str">
        <f aca="false">IF(OR(D6&gt;$G$2,D6&lt;$G$3),"違反","")</f>
        <v/>
      </c>
    </row>
    <row r="7" customFormat="false" ht="15" hidden="false" customHeight="false" outlineLevel="0" collapsed="false">
      <c r="A7" s="12" t="n">
        <v>3</v>
      </c>
      <c r="B7" s="10" t="n">
        <v>150</v>
      </c>
      <c r="C7" s="10" t="n">
        <v>4</v>
      </c>
      <c r="D7" s="9" t="n">
        <f aca="false">C7/B7</f>
        <v>0.0266666666666667</v>
      </c>
      <c r="E7" s="9" t="str">
        <f aca="false">IF(OR(D7&gt;$G$2,D7&lt;$G$3),"違反","")</f>
        <v/>
      </c>
    </row>
    <row r="8" customFormat="false" ht="15" hidden="false" customHeight="false" outlineLevel="0" collapsed="false">
      <c r="A8" s="12" t="n">
        <v>4</v>
      </c>
      <c r="B8" s="10" t="n">
        <v>150</v>
      </c>
      <c r="C8" s="10" t="n">
        <v>2</v>
      </c>
      <c r="D8" s="9" t="n">
        <f aca="false">C8/B8</f>
        <v>0.0133333333333333</v>
      </c>
      <c r="E8" s="9" t="str">
        <f aca="false">IF(OR(D8&gt;$G$2,D8&lt;$G$3),"違反","")</f>
        <v/>
      </c>
    </row>
    <row r="9" customFormat="false" ht="15" hidden="false" customHeight="false" outlineLevel="0" collapsed="false">
      <c r="A9" s="12" t="n">
        <v>5</v>
      </c>
      <c r="B9" s="10" t="n">
        <v>150</v>
      </c>
      <c r="C9" s="10" t="n">
        <v>4</v>
      </c>
      <c r="D9" s="9" t="n">
        <f aca="false">C9/B9</f>
        <v>0.0266666666666667</v>
      </c>
      <c r="E9" s="9" t="str">
        <f aca="false">IF(OR(D9&gt;$G$2,D9&lt;$G$3),"違反","")</f>
        <v/>
      </c>
    </row>
    <row r="10" customFormat="false" ht="15" hidden="false" customHeight="false" outlineLevel="0" collapsed="false">
      <c r="A10" s="12" t="n">
        <v>6</v>
      </c>
      <c r="B10" s="10" t="n">
        <v>150</v>
      </c>
      <c r="C10" s="10" t="n">
        <v>3</v>
      </c>
      <c r="D10" s="9" t="n">
        <f aca="false">C10/B10</f>
        <v>0.02</v>
      </c>
      <c r="E10" s="9" t="str">
        <f aca="false">IF(OR(D10&gt;$G$2,D10&lt;$G$3),"違反","")</f>
        <v/>
      </c>
    </row>
    <row r="11" customFormat="false" ht="15" hidden="false" customHeight="false" outlineLevel="0" collapsed="false">
      <c r="A11" s="12" t="n">
        <v>7</v>
      </c>
      <c r="B11" s="10" t="n">
        <v>150</v>
      </c>
      <c r="C11" s="10" t="n">
        <v>6</v>
      </c>
      <c r="D11" s="9" t="n">
        <f aca="false">C11/B11</f>
        <v>0.04</v>
      </c>
      <c r="E11" s="9" t="str">
        <f aca="false">IF(OR(D11&gt;$G$2,D11&lt;$G$3),"違反","")</f>
        <v/>
      </c>
    </row>
    <row r="12" customFormat="false" ht="15" hidden="false" customHeight="false" outlineLevel="0" collapsed="false">
      <c r="A12" s="12" t="n">
        <v>8</v>
      </c>
      <c r="B12" s="10" t="n">
        <v>150</v>
      </c>
      <c r="C12" s="10" t="n">
        <v>1</v>
      </c>
      <c r="D12" s="9" t="n">
        <f aca="false">C12/B12</f>
        <v>0.00666666666666667</v>
      </c>
      <c r="E12" s="9" t="str">
        <f aca="false">IF(OR(D12&gt;$G$2,D12&lt;$G$3),"違反","")</f>
        <v/>
      </c>
    </row>
    <row r="13" customFormat="false" ht="15" hidden="false" customHeight="false" outlineLevel="0" collapsed="false">
      <c r="A13" s="12" t="n">
        <v>9</v>
      </c>
      <c r="B13" s="10" t="n">
        <v>150</v>
      </c>
      <c r="C13" s="10" t="n">
        <v>1</v>
      </c>
      <c r="D13" s="9" t="n">
        <f aca="false">C13/B13</f>
        <v>0.00666666666666667</v>
      </c>
      <c r="E13" s="9" t="str">
        <f aca="false">IF(OR(D13&gt;$G$2,D13&lt;$G$3),"違反","")</f>
        <v/>
      </c>
    </row>
    <row r="14" customFormat="false" ht="15" hidden="false" customHeight="false" outlineLevel="0" collapsed="false">
      <c r="A14" s="12" t="n">
        <v>10</v>
      </c>
      <c r="B14" s="10" t="n">
        <v>150</v>
      </c>
      <c r="C14" s="10" t="n">
        <v>5</v>
      </c>
      <c r="D14" s="9" t="n">
        <f aca="false">C14/B14</f>
        <v>0.0333333333333333</v>
      </c>
      <c r="E14" s="9" t="str">
        <f aca="false">IF(OR(D14&gt;$G$2,D14&lt;$G$3),"違反","")</f>
        <v/>
      </c>
    </row>
    <row r="15" customFormat="false" ht="15" hidden="false" customHeight="false" outlineLevel="0" collapsed="false">
      <c r="A15" s="12" t="n">
        <v>11</v>
      </c>
      <c r="B15" s="10" t="n">
        <v>150</v>
      </c>
      <c r="C15" s="10" t="n">
        <v>14</v>
      </c>
      <c r="D15" s="9" t="n">
        <f aca="false">C15/B15</f>
        <v>0.0933333333333333</v>
      </c>
      <c r="E15" s="9" t="str">
        <f aca="false">IF(OR(D15&gt;$G$2,D15&lt;$G$3),"違反","")</f>
        <v>違反</v>
      </c>
    </row>
    <row r="16" customFormat="false" ht="15" hidden="false" customHeight="false" outlineLevel="0" collapsed="false">
      <c r="A16" s="12" t="n">
        <v>12</v>
      </c>
      <c r="B16" s="10" t="n">
        <v>150</v>
      </c>
      <c r="C16" s="10" t="n">
        <v>5</v>
      </c>
      <c r="D16" s="9" t="n">
        <f aca="false">C16/B16</f>
        <v>0.0333333333333333</v>
      </c>
      <c r="E16" s="9" t="str">
        <f aca="false">IF(OR(D16&gt;$G$2,D16&lt;$G$3),"違反","")</f>
        <v/>
      </c>
    </row>
    <row r="17" customFormat="false" ht="15" hidden="false" customHeight="false" outlineLevel="0" collapsed="false">
      <c r="A17" s="12" t="n">
        <v>13</v>
      </c>
      <c r="B17" s="10" t="n">
        <v>150</v>
      </c>
      <c r="C17" s="10" t="n">
        <v>0</v>
      </c>
      <c r="D17" s="9" t="n">
        <f aca="false">C17/B17</f>
        <v>0</v>
      </c>
      <c r="E17" s="9" t="str">
        <f aca="false">IF(OR(D17&gt;$G$2,D17&lt;$G$3),"違反","")</f>
        <v/>
      </c>
    </row>
    <row r="18" customFormat="false" ht="15" hidden="false" customHeight="false" outlineLevel="0" collapsed="false">
      <c r="A18" s="12" t="n">
        <v>14</v>
      </c>
      <c r="B18" s="10" t="n">
        <v>150</v>
      </c>
      <c r="C18" s="10" t="n">
        <v>4</v>
      </c>
      <c r="D18" s="9" t="n">
        <f aca="false">C18/B18</f>
        <v>0.0266666666666667</v>
      </c>
      <c r="E18" s="9" t="str">
        <f aca="false">IF(OR(D18&gt;$G$2,D18&lt;$G$3),"違反","")</f>
        <v/>
      </c>
    </row>
    <row r="19" customFormat="false" ht="15" hidden="false" customHeight="false" outlineLevel="0" collapsed="false">
      <c r="A19" s="12" t="n">
        <v>15</v>
      </c>
      <c r="B19" s="10" t="n">
        <v>150</v>
      </c>
      <c r="C19" s="10" t="n">
        <v>5</v>
      </c>
      <c r="D19" s="9" t="n">
        <f aca="false">C19/B19</f>
        <v>0.0333333333333333</v>
      </c>
      <c r="E19" s="9" t="str">
        <f aca="false">IF(OR(D19&gt;$G$2,D19&lt;$G$3),"違反","")</f>
        <v/>
      </c>
    </row>
  </sheetData>
  <conditionalFormatting sqref="D5:D19">
    <cfRule type="expression" priority="2" aboveAverage="0" equalAverage="0" bottom="0" percent="0" rank="0" text="" dxfId="0">
      <formula>OR(D5&gt;$G$2,D5&lt;$G$3)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2026-09-15T08:39:27Z</dcterms:created>
  <dc:creator>openpyxl</dc:creator>
  <dc:description/>
  <dc:language>en-US</dc:language>
  <cp:lastModifiedBy/>
  <dcterms:modified xsi:type="dcterms:W3CDTF">2026-09-15T08:39:28Z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