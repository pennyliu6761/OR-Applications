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資料彙整" sheetId="1" state="visible" r:id="rId3"/>
    <sheet name="01_前置關係與RPW_戰甲車" sheetId="2" state="visible" r:id="rId4"/>
    <sheet name="02_工作站指派驗證_戰甲車" sheetId="3" state="visible" r:id="rId5"/>
    <sheet name="03_ILP指派_戰甲車" sheetId="4" state="visible" r:id="rId6"/>
    <sheet name="04_練習1_無人機組裝線" sheetId="5" state="visible" r:id="rId7"/>
    <sheet name="05_練習2_迫擊砲彈整備線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<sst xmlns="http://schemas.openxmlformats.org/spreadsheetml/2006/main" count="193" uniqueCount="84">
  <si>
    <r>
      <rPr>
        <b val="true"/>
        <sz val="14"/>
        <rFont val="Noto Sans CJK SC"/>
        <family val="2"/>
      </rPr>
      <t xml:space="preserve">第</t>
    </r>
    <r>
      <rPr>
        <b val="true"/>
        <sz val="14"/>
        <rFont val="Arial"/>
        <family val="0"/>
        <charset val="1"/>
      </rPr>
      <t xml:space="preserve">2</t>
    </r>
    <r>
      <rPr>
        <b val="true"/>
        <sz val="14"/>
        <rFont val="Noto Sans CJK SC"/>
        <family val="2"/>
      </rPr>
      <t xml:space="preserve">週 產線平衡 — 本週模擬資料集彙整</t>
    </r>
  </si>
  <si>
    <t xml:space="preserve">以下為本週講義中所有模擬資料集，供學員自行複製至其他工作表練習使用。</t>
  </si>
  <si>
    <t xml:space="preserve">資料集名稱</t>
  </si>
  <si>
    <t xml:space="preserve">用途</t>
  </si>
  <si>
    <t xml:space="preserve">作業元素／時間／直接前置作業</t>
  </si>
  <si>
    <r>
      <rPr>
        <sz val="11"/>
        <color theme="1"/>
        <rFont val="Noto Sans CJK SC"/>
        <family val="2"/>
      </rPr>
      <t xml:space="preserve">戰甲車保修線（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項作業，</t>
    </r>
    <r>
      <rPr>
        <sz val="11"/>
        <color theme="1"/>
        <rFont val="Calibri"/>
        <family val="2"/>
        <charset val="1"/>
      </rPr>
      <t xml:space="preserve">CT=12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</si>
  <si>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主範例（</t>
    </r>
    <r>
      <rPr>
        <sz val="11"/>
        <color theme="1"/>
        <rFont val="Calibri"/>
        <family val="2"/>
        <charset val="1"/>
      </rPr>
      <t xml:space="preserve">RPW</t>
    </r>
    <r>
      <rPr>
        <sz val="11"/>
        <color theme="1"/>
        <rFont val="Noto Sans CJK SC"/>
        <family val="2"/>
      </rPr>
      <t xml:space="preserve">／最多後續作業法／</t>
    </r>
    <r>
      <rPr>
        <sz val="11"/>
        <color theme="1"/>
        <rFont val="Calibri"/>
        <family val="2"/>
        <charset val="1"/>
      </rPr>
      <t xml:space="preserve">ILP</t>
    </r>
    <r>
      <rPr>
        <sz val="11"/>
        <color theme="1"/>
        <rFont val="Noto Sans CJK SC"/>
        <family val="2"/>
      </rPr>
      <t xml:space="preserve">）</t>
    </r>
  </si>
  <si>
    <t xml:space="preserve">A5(-), B3(A), C4(A), D7(B), E6(C), F5(D,E), G4(F), H3(F), I6(G,H)</t>
  </si>
  <si>
    <r>
      <rPr>
        <sz val="11"/>
        <color theme="1"/>
        <rFont val="Noto Sans CJK SC"/>
        <family val="2"/>
      </rPr>
      <t xml:space="preserve">無人機組裝線（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項作業，</t>
    </r>
    <r>
      <rPr>
        <sz val="11"/>
        <color theme="1"/>
        <rFont val="Calibri"/>
        <family val="2"/>
        <charset val="1"/>
      </rPr>
      <t xml:space="preserve">CT=15</t>
    </r>
    <r>
      <rPr>
        <sz val="11"/>
        <color theme="1"/>
        <rFont val="Noto Sans CJK SC"/>
        <family val="2"/>
      </rPr>
      <t xml:space="preserve">）</t>
    </r>
  </si>
  <si>
    <t xml:space="preserve">延伸練習一</t>
  </si>
  <si>
    <t xml:space="preserve">A8(-), B4(A), C5(A), D6(B), E5(C), F7(D,E), G6(F)</t>
  </si>
  <si>
    <r>
      <rPr>
        <sz val="11"/>
        <color theme="1"/>
        <rFont val="Noto Sans CJK SC"/>
        <family val="2"/>
      </rPr>
      <t xml:space="preserve">迫擊砲彈整備線（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項作業，</t>
    </r>
    <r>
      <rPr>
        <sz val="11"/>
        <color theme="1"/>
        <rFont val="Calibri"/>
        <family val="2"/>
        <charset val="1"/>
      </rPr>
      <t xml:space="preserve">CT=10</t>
    </r>
    <r>
      <rPr>
        <sz val="11"/>
        <color theme="1"/>
        <rFont val="Noto Sans CJK SC"/>
        <family val="2"/>
      </rPr>
      <t xml:space="preserve">）</t>
    </r>
  </si>
  <si>
    <t xml:space="preserve">延伸練習二</t>
  </si>
  <si>
    <t xml:space="preserve">A4(-), B5(A), C6(A), D4(B), E5(C), F6(D,E), G3(F), H5(G)</t>
  </si>
  <si>
    <r>
      <rPr>
        <b val="true"/>
        <sz val="14"/>
        <rFont val="Noto Sans CJK SC"/>
        <family val="2"/>
      </rPr>
      <t xml:space="preserve">示範一：前置關係矩陣與 </t>
    </r>
    <r>
      <rPr>
        <b val="true"/>
        <sz val="14"/>
        <rFont val="Arial"/>
        <family val="0"/>
        <charset val="1"/>
      </rPr>
      <t xml:space="preserve">RPW </t>
    </r>
    <r>
      <rPr>
        <b val="true"/>
        <sz val="14"/>
        <rFont val="Noto Sans CJK SC"/>
        <family val="2"/>
      </rPr>
      <t xml:space="preserve">計算表（戰甲車保修線）</t>
    </r>
  </si>
  <si>
    <r>
      <rPr>
        <i val="true"/>
        <sz val="9"/>
        <color rgb="FF666666"/>
        <rFont val="Noto Sans CJK SC"/>
        <family val="2"/>
      </rPr>
      <t xml:space="preserve">說明：</t>
    </r>
    <r>
      <rPr>
        <i val="true"/>
        <sz val="9"/>
        <color rgb="FF666666"/>
        <rFont val="Arial"/>
        <family val="0"/>
        <charset val="1"/>
      </rPr>
      <t xml:space="preserve">D</t>
    </r>
    <r>
      <rPr>
        <i val="true"/>
        <sz val="9"/>
        <color rgb="FF666666"/>
        <rFont val="Noto Sans CJK SC"/>
        <family val="2"/>
      </rPr>
      <t xml:space="preserve">欄「全部後續作業」需依前置關係圖人工展開後以逗號分隔輸入；</t>
    </r>
    <r>
      <rPr>
        <i val="true"/>
        <sz val="9"/>
        <color rgb="FF666666"/>
        <rFont val="Arial"/>
        <family val="0"/>
        <charset val="1"/>
      </rPr>
      <t xml:space="preserve">E</t>
    </r>
    <r>
      <rPr>
        <i val="true"/>
        <sz val="9"/>
        <color rgb="FF666666"/>
        <rFont val="Noto Sans CJK SC"/>
        <family val="2"/>
      </rPr>
      <t xml:space="preserve">欄</t>
    </r>
    <r>
      <rPr>
        <i val="true"/>
        <sz val="9"/>
        <color rgb="FF666666"/>
        <rFont val="Arial"/>
        <family val="0"/>
        <charset val="1"/>
      </rPr>
      <t xml:space="preserve">RPW</t>
    </r>
    <r>
      <rPr>
        <i val="true"/>
        <sz val="9"/>
        <color rgb="FF666666"/>
        <rFont val="Noto Sans CJK SC"/>
        <family val="2"/>
      </rPr>
      <t xml:space="preserve">公式會自動加總。</t>
    </r>
    <r>
      <rPr>
        <i val="true"/>
        <sz val="9"/>
        <color rgb="FF666666"/>
        <rFont val="Arial"/>
        <family val="0"/>
        <charset val="1"/>
      </rPr>
      <t xml:space="preserve">F</t>
    </r>
    <r>
      <rPr>
        <i val="true"/>
        <sz val="9"/>
        <color rgb="FF666666"/>
        <rFont val="Noto Sans CJK SC"/>
        <family val="2"/>
      </rPr>
      <t xml:space="preserve">欄為最多後續作業法所需的後續作業個數。</t>
    </r>
  </si>
  <si>
    <t xml:space="preserve">作業元素</t>
  </si>
  <si>
    <t xml:space="preserve">作業時間</t>
  </si>
  <si>
    <t xml:space="preserve">直接前置作業</t>
  </si>
  <si>
    <r>
      <rPr>
        <b val="true"/>
        <sz val="11"/>
        <color rgb="FFFFFFFF"/>
        <rFont val="Noto Sans CJK SC"/>
        <family val="2"/>
      </rPr>
      <t xml:space="preserve">全部後續作業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人工輸入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</si>
  <si>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位置權重</t>
    </r>
    <r>
      <rPr>
        <b val="true"/>
        <sz val="11"/>
        <color rgb="FFFFFFFF"/>
        <rFont val="Arial"/>
        <family val="0"/>
        <charset val="1"/>
      </rPr>
      <t xml:space="preserve">PW(RPW</t>
    </r>
    <r>
      <rPr>
        <b val="true"/>
        <sz val="11"/>
        <color rgb="FFFFFFFF"/>
        <rFont val="Noto Sans CJK SC"/>
        <family val="2"/>
      </rPr>
      <t xml:space="preserve">法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</si>
  <si>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後續作業個數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最多後續作業法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</si>
  <si>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A</t>
  </si>
  <si>
    <t xml:space="preserve">B,C,D,E,F,G,H,I</t>
  </si>
  <si>
    <t xml:space="preserve">B</t>
  </si>
  <si>
    <t xml:space="preserve">D,F,G,H,I</t>
  </si>
  <si>
    <t xml:space="preserve">C</t>
  </si>
  <si>
    <t xml:space="preserve">E,F,G,H,I</t>
  </si>
  <si>
    <t xml:space="preserve">D</t>
  </si>
  <si>
    <t xml:space="preserve">F,G,H,I</t>
  </si>
  <si>
    <t xml:space="preserve">E</t>
  </si>
  <si>
    <t xml:space="preserve">F</t>
  </si>
  <si>
    <t xml:space="preserve">D,E</t>
  </si>
  <si>
    <t xml:space="preserve">G,H,I</t>
  </si>
  <si>
    <t xml:space="preserve">G</t>
  </si>
  <si>
    <t xml:space="preserve">I</t>
  </si>
  <si>
    <t xml:space="preserve">H</t>
  </si>
  <si>
    <t xml:space="preserve">G,H</t>
  </si>
  <si>
    <r>
      <rPr>
        <b val="true"/>
        <sz val="14"/>
        <rFont val="Noto Sans CJK SC"/>
        <family val="2"/>
      </rPr>
      <t xml:space="preserve">示範二：工作站指派驗證表（依 </t>
    </r>
    <r>
      <rPr>
        <b val="true"/>
        <sz val="14"/>
        <rFont val="Arial"/>
        <family val="0"/>
        <charset val="1"/>
      </rPr>
      <t xml:space="preserve">RPW </t>
    </r>
    <r>
      <rPr>
        <b val="true"/>
        <sz val="14"/>
        <rFont val="Noto Sans CJK SC"/>
        <family val="2"/>
      </rPr>
      <t xml:space="preserve">法指派結果，</t>
    </r>
    <r>
      <rPr>
        <b val="true"/>
        <sz val="14"/>
        <rFont val="Arial"/>
        <family val="0"/>
        <charset val="1"/>
      </rPr>
      <t xml:space="preserve">CT=12</t>
    </r>
    <r>
      <rPr>
        <b val="true"/>
        <sz val="14"/>
        <rFont val="Noto Sans CJK SC"/>
        <family val="2"/>
      </rPr>
      <t xml:space="preserve">）</t>
    </r>
  </si>
  <si>
    <t xml:space="preserve">CT</t>
  </si>
  <si>
    <r>
      <rPr>
        <i val="true"/>
        <sz val="9"/>
        <color rgb="FF666666"/>
        <rFont val="Noto Sans CJK SC"/>
        <family val="2"/>
      </rPr>
      <t xml:space="preserve">說明：</t>
    </r>
    <r>
      <rPr>
        <i val="true"/>
        <sz val="9"/>
        <color rgb="FF666666"/>
        <rFont val="Arial"/>
        <family val="0"/>
        <charset val="1"/>
      </rPr>
      <t xml:space="preserve">C</t>
    </r>
    <r>
      <rPr>
        <i val="true"/>
        <sz val="9"/>
        <color rgb="FF666666"/>
        <rFont val="Noto Sans CJK SC"/>
        <family val="2"/>
      </rPr>
      <t xml:space="preserve">欄為使用者依</t>
    </r>
    <r>
      <rPr>
        <i val="true"/>
        <sz val="9"/>
        <color rgb="FF666666"/>
        <rFont val="Arial"/>
        <family val="0"/>
        <charset val="1"/>
      </rPr>
      <t xml:space="preserve">RPW</t>
    </r>
    <r>
      <rPr>
        <i val="true"/>
        <sz val="9"/>
        <color rgb="FF666666"/>
        <rFont val="Noto Sans CJK SC"/>
        <family val="2"/>
      </rPr>
      <t xml:space="preserve">法指派的工作站編號；</t>
    </r>
    <r>
      <rPr>
        <i val="true"/>
        <sz val="9"/>
        <color rgb="FF666666"/>
        <rFont val="Arial"/>
        <family val="0"/>
        <charset val="1"/>
      </rPr>
      <t xml:space="preserve">F</t>
    </r>
    <r>
      <rPr>
        <i val="true"/>
        <sz val="9"/>
        <color rgb="FF666666"/>
        <rFont val="Noto Sans CJK SC"/>
        <family val="2"/>
      </rPr>
      <t xml:space="preserve">欄自動檢查是否違反前置關係；下方彙總表計算各站負荷、效率與平滑係數。</t>
    </r>
  </si>
  <si>
    <t xml:space="preserve">總作業時間</t>
  </si>
  <si>
    <t xml:space="preserve">指派工作站編號</t>
  </si>
  <si>
    <t xml:space="preserve">前置關係檢查</t>
  </si>
  <si>
    <t xml:space="preserve">工作站編號</t>
  </si>
  <si>
    <t xml:space="preserve">站內累積時間</t>
  </si>
  <si>
    <r>
      <rPr>
        <b val="true"/>
        <sz val="11"/>
        <color rgb="FFFFFFFF"/>
        <rFont val="Arial"/>
        <family val="0"/>
        <charset val="1"/>
      </rPr>
      <t xml:space="preserve">CT</t>
    </r>
    <r>
      <rPr>
        <b val="true"/>
        <sz val="11"/>
        <color rgb="FFFFFFFF"/>
        <rFont val="Noto Sans CJK SC"/>
        <family val="2"/>
      </rPr>
      <t xml:space="preserve">檢查</t>
    </r>
  </si>
  <si>
    <r>
      <rPr>
        <b val="true"/>
        <sz val="11"/>
        <color rgb="FF000000"/>
        <rFont val="Noto Sans CJK SC"/>
        <family val="2"/>
      </rPr>
      <t xml:space="preserve">工作站數</t>
    </r>
    <r>
      <rPr>
        <b val="true"/>
        <sz val="11"/>
        <color rgb="FF000000"/>
        <rFont val="Arial"/>
        <family val="0"/>
        <charset val="1"/>
      </rPr>
      <t xml:space="preserve">N</t>
    </r>
  </si>
  <si>
    <r>
      <rPr>
        <b val="true"/>
        <sz val="11"/>
        <color rgb="FFFFFFFF"/>
        <rFont val="Arial"/>
        <family val="0"/>
        <charset val="1"/>
      </rPr>
      <t xml:space="preserve">CT</t>
    </r>
    <r>
      <rPr>
        <b val="true"/>
        <sz val="11"/>
        <color rgb="FFFFFFFF"/>
        <rFont val="Noto Sans CJK SC"/>
        <family val="2"/>
      </rPr>
      <t xml:space="preserve">參考線</t>
    </r>
  </si>
  <si>
    <r>
      <rPr>
        <sz val="11"/>
        <color rgb="FF000000"/>
        <rFont val="Arial"/>
        <family val="0"/>
        <charset val="1"/>
      </rPr>
      <t xml:space="preserve">OK</t>
    </r>
    <r>
      <rPr>
        <sz val="11"/>
        <color rgb="FF000000"/>
        <rFont val="Noto Sans CJK SC"/>
        <family val="2"/>
      </rPr>
      <t xml:space="preserve">（無前置作業）</t>
    </r>
  </si>
  <si>
    <r>
      <rPr>
        <b val="true"/>
        <sz val="11"/>
        <color rgb="FF000000"/>
        <rFont val="Noto Sans CJK SC"/>
        <family val="2"/>
      </rPr>
      <t xml:space="preserve">效率</t>
    </r>
    <r>
      <rPr>
        <b val="true"/>
        <sz val="11"/>
        <color rgb="FF000000"/>
        <rFont val="Arial"/>
        <family val="0"/>
        <charset val="1"/>
      </rPr>
      <t xml:space="preserve">(%)</t>
    </r>
  </si>
  <si>
    <r>
      <rPr>
        <b val="true"/>
        <sz val="11"/>
        <color rgb="FF000000"/>
        <rFont val="Noto Sans CJK SC"/>
        <family val="2"/>
      </rPr>
      <t xml:space="preserve">平滑係數</t>
    </r>
    <r>
      <rPr>
        <b val="true"/>
        <sz val="11"/>
        <color rgb="FF000000"/>
        <rFont val="Arial"/>
        <family val="0"/>
        <charset val="1"/>
      </rPr>
      <t xml:space="preserve">SI</t>
    </r>
  </si>
  <si>
    <r>
      <rPr>
        <b val="true"/>
        <sz val="14"/>
        <rFont val="Noto Sans CJK SC"/>
        <family val="2"/>
      </rPr>
      <t xml:space="preserve">示範三：整數規劃（</t>
    </r>
    <r>
      <rPr>
        <b val="true"/>
        <sz val="14"/>
        <rFont val="Arial"/>
        <family val="0"/>
        <charset val="1"/>
      </rPr>
      <t xml:space="preserve">ILP</t>
    </r>
    <r>
      <rPr>
        <b val="true"/>
        <sz val="14"/>
        <rFont val="Noto Sans CJK SC"/>
        <family val="2"/>
      </rPr>
      <t xml:space="preserve">）二元指派矩陣（戰甲車保修線）</t>
    </r>
  </si>
  <si>
    <r>
      <rPr>
        <i val="true"/>
        <sz val="9"/>
        <color rgb="FF666666"/>
        <rFont val="Noto Sans CJK SC"/>
        <family val="2"/>
      </rPr>
      <t xml:space="preserve">說明：</t>
    </r>
    <r>
      <rPr>
        <i val="true"/>
        <sz val="9"/>
        <color rgb="FF666666"/>
        <rFont val="Arial"/>
        <family val="0"/>
        <charset val="1"/>
      </rPr>
      <t xml:space="preserve">B2:F10</t>
    </r>
    <r>
      <rPr>
        <i val="true"/>
        <sz val="9"/>
        <color rgb="FF666666"/>
        <rFont val="Noto Sans CJK SC"/>
        <family val="2"/>
      </rPr>
      <t xml:space="preserve">為決策變數</t>
    </r>
    <r>
      <rPr>
        <i val="true"/>
        <sz val="9"/>
        <color rgb="FF666666"/>
        <rFont val="Arial"/>
        <family val="0"/>
        <charset val="1"/>
      </rPr>
      <t xml:space="preserve">x[i,k]</t>
    </r>
    <r>
      <rPr>
        <i val="true"/>
        <sz val="9"/>
        <color rgb="FF666666"/>
        <rFont val="Noto Sans CJK SC"/>
        <family val="2"/>
      </rPr>
      <t xml:space="preserve">（</t>
    </r>
    <r>
      <rPr>
        <i val="true"/>
        <sz val="9"/>
        <color rgb="FF666666"/>
        <rFont val="Arial"/>
        <family val="0"/>
        <charset val="1"/>
      </rPr>
      <t xml:space="preserve">0/1</t>
    </r>
    <r>
      <rPr>
        <i val="true"/>
        <sz val="9"/>
        <color rgb="FF666666"/>
        <rFont val="Noto Sans CJK SC"/>
        <family val="2"/>
      </rPr>
      <t xml:space="preserve">，黃底為可調整儲存格），已預填</t>
    </r>
    <r>
      <rPr>
        <i val="true"/>
        <sz val="9"/>
        <color rgb="FF666666"/>
        <rFont val="Arial"/>
        <family val="0"/>
        <charset val="1"/>
      </rPr>
      <t xml:space="preserve">RPW</t>
    </r>
    <r>
      <rPr>
        <i val="true"/>
        <sz val="9"/>
        <color rgb="FF666666"/>
        <rFont val="Noto Sans CJK SC"/>
        <family val="2"/>
      </rPr>
      <t xml:space="preserve">法之解；可用規劃求解的二元變數功能重新求解驗證。</t>
    </r>
  </si>
  <si>
    <r>
      <rPr>
        <b val="true"/>
        <sz val="11"/>
        <color rgb="FFFFFFFF"/>
        <rFont val="Noto Sans CJK SC"/>
        <family val="2"/>
      </rPr>
      <t xml:space="preserve">站</t>
    </r>
    <r>
      <rPr>
        <b val="true"/>
        <sz val="11"/>
        <color rgb="FFFFFFFF"/>
        <rFont val="Arial"/>
        <family val="0"/>
        <charset val="1"/>
      </rPr>
      <t xml:space="preserve">1</t>
    </r>
  </si>
  <si>
    <r>
      <rPr>
        <b val="true"/>
        <sz val="11"/>
        <color rgb="FFFFFFFF"/>
        <rFont val="Noto Sans CJK SC"/>
        <family val="2"/>
      </rPr>
      <t xml:space="preserve">站</t>
    </r>
    <r>
      <rPr>
        <b val="true"/>
        <sz val="11"/>
        <color rgb="FFFFFFFF"/>
        <rFont val="Arial"/>
        <family val="0"/>
        <charset val="1"/>
      </rPr>
      <t xml:space="preserve">2</t>
    </r>
  </si>
  <si>
    <r>
      <rPr>
        <b val="true"/>
        <sz val="11"/>
        <color rgb="FFFFFFFF"/>
        <rFont val="Noto Sans CJK SC"/>
        <family val="2"/>
      </rPr>
      <t xml:space="preserve">站</t>
    </r>
    <r>
      <rPr>
        <b val="true"/>
        <sz val="11"/>
        <color rgb="FFFFFFFF"/>
        <rFont val="Arial"/>
        <family val="0"/>
        <charset val="1"/>
      </rPr>
      <t xml:space="preserve">3</t>
    </r>
  </si>
  <si>
    <r>
      <rPr>
        <b val="true"/>
        <sz val="11"/>
        <color rgb="FFFFFFFF"/>
        <rFont val="Noto Sans CJK SC"/>
        <family val="2"/>
      </rPr>
      <t xml:space="preserve">站</t>
    </r>
    <r>
      <rPr>
        <b val="true"/>
        <sz val="11"/>
        <color rgb="FFFFFFFF"/>
        <rFont val="Arial"/>
        <family val="0"/>
        <charset val="1"/>
      </rPr>
      <t xml:space="preserve">4</t>
    </r>
  </si>
  <si>
    <r>
      <rPr>
        <b val="true"/>
        <sz val="11"/>
        <color rgb="FFFFFFFF"/>
        <rFont val="Noto Sans CJK SC"/>
        <family val="2"/>
      </rPr>
      <t xml:space="preserve">站</t>
    </r>
    <r>
      <rPr>
        <b val="true"/>
        <sz val="11"/>
        <color rgb="FFFFFFFF"/>
        <rFont val="Arial"/>
        <family val="0"/>
        <charset val="1"/>
      </rPr>
      <t xml:space="preserve">5</t>
    </r>
  </si>
  <si>
    <r>
      <rPr>
        <b val="true"/>
        <sz val="11"/>
        <color rgb="FFFFFFFF"/>
        <rFont val="Noto Sans CJK SC"/>
        <family val="2"/>
      </rPr>
      <t xml:space="preserve">指派總數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應</t>
    </r>
    <r>
      <rPr>
        <b val="true"/>
        <sz val="11"/>
        <color rgb="FFFFFFFF"/>
        <rFont val="Arial"/>
        <family val="0"/>
        <charset val="1"/>
      </rPr>
      <t xml:space="preserve">=1)</t>
    </r>
  </si>
  <si>
    <t xml:space="preserve">站負荷</t>
  </si>
  <si>
    <r>
      <rPr>
        <b val="true"/>
        <sz val="11"/>
        <color rgb="FF000000"/>
        <rFont val="Arial"/>
        <family val="0"/>
        <charset val="1"/>
      </rPr>
      <t xml:space="preserve">CT</t>
    </r>
    <r>
      <rPr>
        <b val="true"/>
        <sz val="11"/>
        <color rgb="FF000000"/>
        <rFont val="Noto Sans CJK SC"/>
        <family val="2"/>
      </rPr>
      <t xml:space="preserve">檢查</t>
    </r>
  </si>
  <si>
    <r>
      <rPr>
        <b val="true"/>
        <sz val="11"/>
        <color rgb="FF000000"/>
        <rFont val="Noto Sans CJK SC"/>
        <family val="2"/>
      </rPr>
      <t xml:space="preserve">站是否啟用 </t>
    </r>
    <r>
      <rPr>
        <b val="true"/>
        <sz val="11"/>
        <color rgb="FF000000"/>
        <rFont val="Arial"/>
        <family val="0"/>
        <charset val="1"/>
      </rPr>
      <t xml:space="preserve">y[k]</t>
    </r>
  </si>
  <si>
    <r>
      <rPr>
        <b val="true"/>
        <sz val="11"/>
        <color rgb="FF000000"/>
        <rFont val="Noto Sans CJK SC"/>
        <family val="2"/>
      </rPr>
      <t xml:space="preserve">目標式：啟用站數 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最小化</t>
    </r>
    <r>
      <rPr>
        <b val="true"/>
        <sz val="11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</si>
  <si>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000000"/>
        <rFont val="Noto Sans CJK SC"/>
        <family val="2"/>
      </rPr>
      <t xml:space="preserve">前置關係檢查（前置作業之加權站號 </t>
    </r>
    <r>
      <rPr>
        <b val="true"/>
        <sz val="11"/>
        <color rgb="FF000000"/>
        <rFont val="Arial"/>
        <family val="0"/>
        <charset val="1"/>
      </rPr>
      <t xml:space="preserve">&lt;= </t>
    </r>
    <r>
      <rPr>
        <b val="true"/>
        <sz val="11"/>
        <color rgb="FF000000"/>
        <rFont val="Noto Sans CJK SC"/>
        <family val="2"/>
      </rPr>
      <t xml:space="preserve">後續作業之加權站號）</t>
    </r>
  </si>
  <si>
    <t xml:space="preserve">前置作業</t>
  </si>
  <si>
    <t xml:space="preserve">後續作業</t>
  </si>
  <si>
    <t xml:space="preserve">前置站號</t>
  </si>
  <si>
    <t xml:space="preserve">後續站號</t>
  </si>
  <si>
    <t xml:space="preserve">檢查</t>
  </si>
  <si>
    <r>
      <rPr>
        <b val="true"/>
        <sz val="14"/>
        <rFont val="Noto Sans CJK SC"/>
        <family val="2"/>
      </rPr>
      <t xml:space="preserve">延伸練習一：無人機組裝線 </t>
    </r>
    <r>
      <rPr>
        <b val="true"/>
        <sz val="14"/>
        <rFont val="Arial"/>
        <family val="0"/>
        <charset val="1"/>
      </rPr>
      <t xml:space="preserve">RPW </t>
    </r>
    <r>
      <rPr>
        <b val="true"/>
        <sz val="14"/>
        <rFont val="Noto Sans CJK SC"/>
        <family val="2"/>
      </rPr>
      <t xml:space="preserve">計算與工作站指派（</t>
    </r>
    <r>
      <rPr>
        <b val="true"/>
        <sz val="14"/>
        <rFont val="Arial"/>
        <family val="0"/>
        <charset val="1"/>
      </rPr>
      <t xml:space="preserve">CT=15</t>
    </r>
    <r>
      <rPr>
        <b val="true"/>
        <sz val="14"/>
        <rFont val="Noto Sans CJK SC"/>
        <family val="2"/>
      </rPr>
      <t xml:space="preserve">）</t>
    </r>
  </si>
  <si>
    <r>
      <rPr>
        <i val="true"/>
        <sz val="9"/>
        <color rgb="FF666666"/>
        <rFont val="Noto Sans CJK SC"/>
        <family val="2"/>
      </rPr>
      <t xml:space="preserve">說明：先計算</t>
    </r>
    <r>
      <rPr>
        <i val="true"/>
        <sz val="9"/>
        <color rgb="FF666666"/>
        <rFont val="Arial"/>
        <family val="0"/>
        <charset val="1"/>
      </rPr>
      <t xml:space="preserve">RPW</t>
    </r>
    <r>
      <rPr>
        <i val="true"/>
        <sz val="9"/>
        <color rgb="FF666666"/>
        <rFont val="Noto Sans CJK SC"/>
        <family val="2"/>
      </rPr>
      <t xml:space="preserve">找出優先順序，再於</t>
    </r>
    <r>
      <rPr>
        <i val="true"/>
        <sz val="9"/>
        <color rgb="FF666666"/>
        <rFont val="Arial"/>
        <family val="0"/>
        <charset val="1"/>
      </rPr>
      <t xml:space="preserve">H</t>
    </r>
    <r>
      <rPr>
        <i val="true"/>
        <sz val="9"/>
        <color rgb="FF666666"/>
        <rFont val="Noto Sans CJK SC"/>
        <family val="2"/>
      </rPr>
      <t xml:space="preserve">欄自行指派工作站編號，並於下方彙總表檢視效率與平滑係數。</t>
    </r>
  </si>
  <si>
    <r>
      <rPr>
        <b val="true"/>
        <sz val="11"/>
        <color rgb="FFFFFFFF"/>
        <rFont val="Noto Sans CJK SC"/>
        <family val="2"/>
      </rPr>
      <t xml:space="preserve">位置權重</t>
    </r>
    <r>
      <rPr>
        <b val="true"/>
        <sz val="11"/>
        <color rgb="FFFFFFFF"/>
        <rFont val="Arial"/>
        <family val="0"/>
        <charset val="1"/>
      </rPr>
      <t xml:space="preserve">PW</t>
    </r>
  </si>
  <si>
    <r>
      <rPr>
        <b val="true"/>
        <sz val="11"/>
        <color rgb="FFFFFFFF"/>
        <rFont val="Noto Sans CJK SC"/>
        <family val="2"/>
      </rPr>
      <t xml:space="preserve">指派工作站編號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自行填入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</si>
  <si>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B,C,D,E,F,G</t>
  </si>
  <si>
    <t xml:space="preserve">D,F,G</t>
  </si>
  <si>
    <t xml:space="preserve">E,F,G</t>
  </si>
  <si>
    <t xml:space="preserve">F,G</t>
  </si>
  <si>
    <r>
      <rPr>
        <b val="true"/>
        <sz val="11"/>
        <color rgb="FF000000"/>
        <rFont val="Noto Sans CJK SC"/>
        <family val="2"/>
      </rPr>
      <t xml:space="preserve">理論最小站數</t>
    </r>
    <r>
      <rPr>
        <b val="true"/>
        <sz val="11"/>
        <color rgb="FF000000"/>
        <rFont val="Arial"/>
        <family val="0"/>
        <charset val="1"/>
      </rPr>
      <t xml:space="preserve">Nmin</t>
    </r>
  </si>
  <si>
    <r>
      <rPr>
        <b val="true"/>
        <sz val="14"/>
        <rFont val="Noto Sans CJK SC"/>
        <family val="2"/>
      </rPr>
      <t xml:space="preserve">延伸練習二：迫擊砲彈整備線 </t>
    </r>
    <r>
      <rPr>
        <b val="true"/>
        <sz val="14"/>
        <rFont val="Arial"/>
        <family val="0"/>
        <charset val="1"/>
      </rPr>
      <t xml:space="preserve">RPW </t>
    </r>
    <r>
      <rPr>
        <b val="true"/>
        <sz val="14"/>
        <rFont val="Noto Sans CJK SC"/>
        <family val="2"/>
      </rPr>
      <t xml:space="preserve">計算與工作站指派（</t>
    </r>
    <r>
      <rPr>
        <b val="true"/>
        <sz val="14"/>
        <rFont val="Arial"/>
        <family val="0"/>
        <charset val="1"/>
      </rPr>
      <t xml:space="preserve">CT=10</t>
    </r>
    <r>
      <rPr>
        <b val="true"/>
        <sz val="14"/>
        <rFont val="Noto Sans CJK SC"/>
        <family val="2"/>
      </rPr>
      <t xml:space="preserve">）</t>
    </r>
  </si>
  <si>
    <t xml:space="preserve">B,C,D,E,F,G,H</t>
  </si>
  <si>
    <t xml:space="preserve">D,F,G,H</t>
  </si>
  <si>
    <t xml:space="preserve">E,F,G,H</t>
  </si>
  <si>
    <t xml:space="preserve">F,G,H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</si>
</sst>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666666"/>
      <name val="Noto Sans CJK SC"/>
      <family val="2"/>
    </font>
    <font>
      <b val="true"/>
      <sz val="11"/>
      <color rgb="FFFFFFFF"/>
      <name val="Noto Sans CJK SC"/>
      <family val="2"/>
    </font>
    <font>
      <sz val="11"/>
      <color theme="1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Noto Sans CJK SC"/>
      <family val="2"/>
    </font>
    <font>
      <sz val="11"/>
      <color rgb="FF000000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各工作站負荷長條圖（Line Balance Chart）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02_工作站指派驗證_戰甲車!H4</c:f>
              <c:strCache>
                <c:ptCount val="1"/>
                <c:pt idx="0">
                  <c:v>站內累積時間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02_工作站指派驗證_戰甲車!$G$5:$G$9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02_工作站指派驗證_戰甲車!$H$5:$H$9</c:f>
              <c:numCache>
                <c:formatCode>General</c:formatCode>
                <c:ptCount val="5"/>
                <c:pt idx="0">
                  <c:v>12</c:v>
                </c:pt>
                <c:pt idx="1">
                  <c:v>7</c:v>
                </c:pt>
                <c:pt idx="2">
                  <c:v>11</c:v>
                </c:pt>
                <c:pt idx="3">
                  <c:v>7</c:v>
                </c:pt>
                <c:pt idx="4">
                  <c:v>6</c:v>
                </c:pt>
              </c:numCache>
            </c:numRef>
          </c:val>
        </c:ser>
        <c:gapWidth val="150"/>
        <c:overlap val="0"/>
        <c:axId val="24498782"/>
        <c:axId val="17471041"/>
      </c:barChart>
      <c:lineChart>
        <c:grouping val="standard"/>
        <c:varyColors val="0"/>
        <c:ser>
          <c:idx val="1"/>
          <c:order val="1"/>
          <c:tx>
            <c:strRef>
              <c:f>02_工作站指派驗證_戰甲車!N4</c:f>
              <c:strCache>
                <c:ptCount val="1"/>
                <c:pt idx="0">
                  <c:v>CT參考線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02_工作站指派驗證_戰甲車!$G$5:$G$9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02_工作站指派驗證_戰甲車!$N$5:$N$9</c:f>
              <c:numCache>
                <c:formatCode>General</c:formatCode>
                <c:ptCount val="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4498782"/>
        <c:axId val="17471041"/>
      </c:lineChart>
      <c:catAx>
        <c:axId val="244987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工作站編號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471041"/>
        <c:crosses val="autoZero"/>
        <c:auto val="1"/>
        <c:lblAlgn val="ctr"/>
        <c:lblOffset val="100"/>
        <c:noMultiLvlLbl val="0"/>
      </c:catAx>
      <c:valAx>
        <c:axId val="174710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累積作業時間（分）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987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9</xdr:row>
      <xdr:rowOff>16560</xdr:rowOff>
    </xdr:from>
    <xdr:to>
      <xdr:col>13</xdr:col>
      <xdr:colOff>488520</xdr:colOff>
      <xdr:row>23</xdr:row>
      <xdr:rowOff>49320</xdr:rowOff>
    </xdr:to>
    <xdr:graphicFrame>
      <xdr:nvGraphicFramePr>
        <xdr:cNvPr id="0" name="Chart 1"/>
        <xdr:cNvGraphicFramePr/>
      </xdr:nvGraphicFramePr>
      <xdr:xfrm>
        <a:off x="4863600" y="2095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7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7.15" hidden="false" customHeight="false" outlineLevel="0" collapsed="false">
      <c r="A5" s="4" t="s">
        <v>5</v>
      </c>
      <c r="B5" s="4" t="s">
        <v>6</v>
      </c>
      <c r="C5" s="5" t="s">
        <v>7</v>
      </c>
    </row>
    <row r="6" customFormat="false" ht="17.15" hidden="false" customHeight="false" outlineLevel="0" collapsed="false">
      <c r="A6" s="4" t="s">
        <v>8</v>
      </c>
      <c r="B6" s="4" t="s">
        <v>9</v>
      </c>
      <c r="C6" s="5" t="s">
        <v>10</v>
      </c>
    </row>
    <row r="7" customFormat="false" ht="17.15" hidden="false" customHeight="false" outlineLevel="0" collapsed="false">
      <c r="A7" s="4" t="s">
        <v>11</v>
      </c>
      <c r="B7" s="4" t="s">
        <v>12</v>
      </c>
      <c r="C7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21.6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32.8" hidden="false" customHeight="false" outlineLevel="0" collapsed="false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</row>
    <row r="5" customFormat="false" ht="15" hidden="false" customHeight="false" outlineLevel="0" collapsed="false">
      <c r="A5" s="6" t="s">
        <v>22</v>
      </c>
      <c r="B5" s="7" t="n">
        <v>5</v>
      </c>
      <c r="C5" s="7"/>
      <c r="D5" s="7" t="s">
        <v>23</v>
      </c>
      <c r="E5" s="8" t="n">
        <f aca="false">B5+SUMPRODUCT(($B$5:$B$13)*ISNUMBER(SEARCH(","&amp;$A$5:$A$13&amp;",",","&amp;D5&amp;",")))</f>
        <v>43</v>
      </c>
      <c r="F5" s="8" t="n">
        <f aca="false">IF(D5="",0,LEN(D5)-LEN(SUBSTITUTE(D5,",",""))+1)</f>
        <v>8</v>
      </c>
    </row>
    <row r="6" customFormat="false" ht="15" hidden="false" customHeight="false" outlineLevel="0" collapsed="false">
      <c r="A6" s="6" t="s">
        <v>24</v>
      </c>
      <c r="B6" s="7" t="n">
        <v>3</v>
      </c>
      <c r="C6" s="7" t="s">
        <v>22</v>
      </c>
      <c r="D6" s="7" t="s">
        <v>25</v>
      </c>
      <c r="E6" s="8" t="n">
        <f aca="false">B6+SUMPRODUCT(($B$5:$B$13)*ISNUMBER(SEARCH(","&amp;$A$5:$A$13&amp;",",","&amp;D6&amp;",")))</f>
        <v>28</v>
      </c>
      <c r="F6" s="8" t="n">
        <f aca="false">IF(D6="",0,LEN(D6)-LEN(SUBSTITUTE(D6,",",""))+1)</f>
        <v>5</v>
      </c>
    </row>
    <row r="7" customFormat="false" ht="15" hidden="false" customHeight="false" outlineLevel="0" collapsed="false">
      <c r="A7" s="6" t="s">
        <v>26</v>
      </c>
      <c r="B7" s="7" t="n">
        <v>4</v>
      </c>
      <c r="C7" s="7" t="s">
        <v>22</v>
      </c>
      <c r="D7" s="7" t="s">
        <v>27</v>
      </c>
      <c r="E7" s="8" t="n">
        <f aca="false">B7+SUMPRODUCT(($B$5:$B$13)*ISNUMBER(SEARCH(","&amp;$A$5:$A$13&amp;",",","&amp;D7&amp;",")))</f>
        <v>28</v>
      </c>
      <c r="F7" s="8" t="n">
        <f aca="false">IF(D7="",0,LEN(D7)-LEN(SUBSTITUTE(D7,",",""))+1)</f>
        <v>5</v>
      </c>
    </row>
    <row r="8" customFormat="false" ht="15" hidden="false" customHeight="false" outlineLevel="0" collapsed="false">
      <c r="A8" s="6" t="s">
        <v>28</v>
      </c>
      <c r="B8" s="7" t="n">
        <v>7</v>
      </c>
      <c r="C8" s="7" t="s">
        <v>24</v>
      </c>
      <c r="D8" s="7" t="s">
        <v>29</v>
      </c>
      <c r="E8" s="8" t="n">
        <f aca="false">B8+SUMPRODUCT(($B$5:$B$13)*ISNUMBER(SEARCH(","&amp;$A$5:$A$13&amp;",",","&amp;D8&amp;",")))</f>
        <v>25</v>
      </c>
      <c r="F8" s="8" t="n">
        <f aca="false">IF(D8="",0,LEN(D8)-LEN(SUBSTITUTE(D8,",",""))+1)</f>
        <v>4</v>
      </c>
    </row>
    <row r="9" customFormat="false" ht="15" hidden="false" customHeight="false" outlineLevel="0" collapsed="false">
      <c r="A9" s="6" t="s">
        <v>30</v>
      </c>
      <c r="B9" s="7" t="n">
        <v>6</v>
      </c>
      <c r="C9" s="7" t="s">
        <v>26</v>
      </c>
      <c r="D9" s="7" t="s">
        <v>29</v>
      </c>
      <c r="E9" s="8" t="n">
        <f aca="false">B9+SUMPRODUCT(($B$5:$B$13)*ISNUMBER(SEARCH(","&amp;$A$5:$A$13&amp;",",","&amp;D9&amp;",")))</f>
        <v>24</v>
      </c>
      <c r="F9" s="8" t="n">
        <f aca="false">IF(D9="",0,LEN(D9)-LEN(SUBSTITUTE(D9,",",""))+1)</f>
        <v>4</v>
      </c>
    </row>
    <row r="10" customFormat="false" ht="15" hidden="false" customHeight="false" outlineLevel="0" collapsed="false">
      <c r="A10" s="6" t="s">
        <v>31</v>
      </c>
      <c r="B10" s="7" t="n">
        <v>5</v>
      </c>
      <c r="C10" s="7" t="s">
        <v>32</v>
      </c>
      <c r="D10" s="7" t="s">
        <v>33</v>
      </c>
      <c r="E10" s="8" t="n">
        <f aca="false">B10+SUMPRODUCT(($B$5:$B$13)*ISNUMBER(SEARCH(","&amp;$A$5:$A$13&amp;",",","&amp;D10&amp;",")))</f>
        <v>18</v>
      </c>
      <c r="F10" s="8" t="n">
        <f aca="false">IF(D10="",0,LEN(D10)-LEN(SUBSTITUTE(D10,",",""))+1)</f>
        <v>3</v>
      </c>
    </row>
    <row r="11" customFormat="false" ht="15" hidden="false" customHeight="false" outlineLevel="0" collapsed="false">
      <c r="A11" s="6" t="s">
        <v>34</v>
      </c>
      <c r="B11" s="7" t="n">
        <v>4</v>
      </c>
      <c r="C11" s="7" t="s">
        <v>31</v>
      </c>
      <c r="D11" s="7" t="s">
        <v>35</v>
      </c>
      <c r="E11" s="8" t="n">
        <f aca="false">B11+SUMPRODUCT(($B$5:$B$13)*ISNUMBER(SEARCH(","&amp;$A$5:$A$13&amp;",",","&amp;D11&amp;",")))</f>
        <v>10</v>
      </c>
      <c r="F11" s="8" t="n">
        <f aca="false">IF(D11="",0,LEN(D11)-LEN(SUBSTITUTE(D11,",",""))+1)</f>
        <v>1</v>
      </c>
    </row>
    <row r="12" customFormat="false" ht="15" hidden="false" customHeight="false" outlineLevel="0" collapsed="false">
      <c r="A12" s="6" t="s">
        <v>36</v>
      </c>
      <c r="B12" s="7" t="n">
        <v>3</v>
      </c>
      <c r="C12" s="7" t="s">
        <v>31</v>
      </c>
      <c r="D12" s="7" t="s">
        <v>35</v>
      </c>
      <c r="E12" s="8" t="n">
        <f aca="false">B12+SUMPRODUCT(($B$5:$B$13)*ISNUMBER(SEARCH(","&amp;$A$5:$A$13&amp;",",","&amp;D12&amp;",")))</f>
        <v>9</v>
      </c>
      <c r="F12" s="8" t="n">
        <f aca="false">IF(D12="",0,LEN(D12)-LEN(SUBSTITUTE(D12,",",""))+1)</f>
        <v>1</v>
      </c>
    </row>
    <row r="13" customFormat="false" ht="15" hidden="false" customHeight="false" outlineLevel="0" collapsed="false">
      <c r="A13" s="6" t="s">
        <v>35</v>
      </c>
      <c r="B13" s="7" t="n">
        <v>6</v>
      </c>
      <c r="C13" s="7" t="s">
        <v>37</v>
      </c>
      <c r="D13" s="7"/>
      <c r="E13" s="8" t="n">
        <f aca="false">B13+SUMPRODUCT(($B$5:$B$13)*ISNUMBER(SEARCH(","&amp;$A$5:$A$13&amp;",",","&amp;D13&amp;",")))</f>
        <v>6</v>
      </c>
      <c r="F13" s="8" t="n">
        <f aca="false">IF(D13="",0,LEN(D13)-LEN(SUBSTITUTE(D13,",",""))+1)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3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21.6" hidden="false" customHeight="false" outlineLevel="0" collapsed="false">
      <c r="A1" s="1" t="s">
        <v>38</v>
      </c>
      <c r="K1" s="9" t="s">
        <v>39</v>
      </c>
      <c r="L1" s="7" t="n">
        <v>12</v>
      </c>
    </row>
    <row r="2" customFormat="false" ht="15" hidden="false" customHeight="false" outlineLevel="0" collapsed="false">
      <c r="A2" s="2" t="s">
        <v>40</v>
      </c>
    </row>
    <row r="3" customFormat="false" ht="15" hidden="false" customHeight="false" outlineLevel="0" collapsed="false">
      <c r="K3" s="10" t="s">
        <v>41</v>
      </c>
      <c r="L3" s="8" t="n">
        <f aca="false">SUM(B5:B13)</f>
        <v>43</v>
      </c>
    </row>
    <row r="4" customFormat="false" ht="32.8" hidden="false" customHeight="false" outlineLevel="0" collapsed="false">
      <c r="A4" s="3" t="s">
        <v>16</v>
      </c>
      <c r="B4" s="3" t="s">
        <v>17</v>
      </c>
      <c r="C4" s="3" t="s">
        <v>42</v>
      </c>
      <c r="D4" s="3" t="s">
        <v>18</v>
      </c>
      <c r="E4" s="3" t="s">
        <v>43</v>
      </c>
      <c r="G4" s="3" t="s">
        <v>44</v>
      </c>
      <c r="H4" s="3" t="s">
        <v>45</v>
      </c>
      <c r="I4" s="11" t="s">
        <v>46</v>
      </c>
      <c r="K4" s="10" t="s">
        <v>47</v>
      </c>
      <c r="L4" s="8" t="n">
        <f aca="false">MAX(C5:C13)</f>
        <v>5</v>
      </c>
      <c r="N4" s="11" t="s">
        <v>48</v>
      </c>
    </row>
    <row r="5" customFormat="false" ht="17.15" hidden="false" customHeight="false" outlineLevel="0" collapsed="false">
      <c r="A5" s="6" t="s">
        <v>22</v>
      </c>
      <c r="B5" s="7" t="n">
        <v>5</v>
      </c>
      <c r="C5" s="7" t="n">
        <v>1</v>
      </c>
      <c r="D5" s="7"/>
      <c r="E5" s="8" t="s">
        <v>49</v>
      </c>
      <c r="G5" s="8" t="n">
        <v>1</v>
      </c>
      <c r="H5" s="8" t="n">
        <f aca="false">SUMIF($C$5:$C$13,G5,$B$5:$B$13)</f>
        <v>12</v>
      </c>
      <c r="I5" s="8" t="str">
        <f aca="false">IF(H5&gt;$L$1,"超過CT","OK")</f>
        <v>OK</v>
      </c>
      <c r="K5" s="10" t="s">
        <v>50</v>
      </c>
      <c r="L5" s="8" t="n">
        <f aca="false">L3/(L4*L1)*100</f>
        <v>71.6666666666667</v>
      </c>
      <c r="N5" s="8" t="n">
        <f aca="false">$L$1</f>
        <v>12</v>
      </c>
    </row>
    <row r="6" customFormat="false" ht="17.15" hidden="false" customHeight="false" outlineLevel="0" collapsed="false">
      <c r="A6" s="6" t="s">
        <v>24</v>
      </c>
      <c r="B6" s="7" t="n">
        <v>3</v>
      </c>
      <c r="C6" s="7" t="n">
        <v>1</v>
      </c>
      <c r="D6" s="7" t="s">
        <v>22</v>
      </c>
      <c r="E6" s="8" t="str">
        <f aca="false">IF(VLOOKUP("A",$A$5:$C$13,3,0)&lt;=C6,"OK","違反前置關係")</f>
        <v>OK</v>
      </c>
      <c r="G6" s="8" t="n">
        <v>2</v>
      </c>
      <c r="H6" s="8" t="n">
        <f aca="false">SUMIF($C$5:$C$13,G6,$B$5:$B$13)</f>
        <v>7</v>
      </c>
      <c r="I6" s="8" t="str">
        <f aca="false">IF(H6&gt;$L$1,"超過CT","OK")</f>
        <v>OK</v>
      </c>
      <c r="K6" s="10" t="s">
        <v>51</v>
      </c>
      <c r="L6" s="8" t="n">
        <f aca="false">SQRT(SUMPRODUCT(($L$1-H5:H9)^2))</f>
        <v>9.32737905308882</v>
      </c>
      <c r="N6" s="8" t="n">
        <f aca="false">$L$1</f>
        <v>12</v>
      </c>
    </row>
    <row r="7" customFormat="false" ht="15" hidden="false" customHeight="false" outlineLevel="0" collapsed="false">
      <c r="A7" s="6" t="s">
        <v>26</v>
      </c>
      <c r="B7" s="7" t="n">
        <v>4</v>
      </c>
      <c r="C7" s="7" t="n">
        <v>1</v>
      </c>
      <c r="D7" s="7" t="s">
        <v>22</v>
      </c>
      <c r="E7" s="8" t="str">
        <f aca="false">IF(VLOOKUP("A",$A$5:$C$13,3,0)&lt;=C7,"OK","違反前置關係")</f>
        <v>OK</v>
      </c>
      <c r="G7" s="8" t="n">
        <v>3</v>
      </c>
      <c r="H7" s="8" t="n">
        <f aca="false">SUMIF($C$5:$C$13,G7,$B$5:$B$13)</f>
        <v>11</v>
      </c>
      <c r="I7" s="8" t="str">
        <f aca="false">IF(H7&gt;$L$1,"超過CT","OK")</f>
        <v>OK</v>
      </c>
      <c r="N7" s="8" t="n">
        <f aca="false">$L$1</f>
        <v>12</v>
      </c>
    </row>
    <row r="8" customFormat="false" ht="15" hidden="false" customHeight="false" outlineLevel="0" collapsed="false">
      <c r="A8" s="6" t="s">
        <v>28</v>
      </c>
      <c r="B8" s="7" t="n">
        <v>7</v>
      </c>
      <c r="C8" s="7" t="n">
        <v>2</v>
      </c>
      <c r="D8" s="7" t="s">
        <v>24</v>
      </c>
      <c r="E8" s="8" t="str">
        <f aca="false">IF(VLOOKUP("B",$A$5:$C$13,3,0)&lt;=C8,"OK","違反前置關係")</f>
        <v>OK</v>
      </c>
      <c r="G8" s="8" t="n">
        <v>4</v>
      </c>
      <c r="H8" s="8" t="n">
        <f aca="false">SUMIF($C$5:$C$13,G8,$B$5:$B$13)</f>
        <v>7</v>
      </c>
      <c r="I8" s="8" t="str">
        <f aca="false">IF(H8&gt;$L$1,"超過CT","OK")</f>
        <v>OK</v>
      </c>
      <c r="N8" s="8" t="n">
        <f aca="false">$L$1</f>
        <v>12</v>
      </c>
    </row>
    <row r="9" customFormat="false" ht="15" hidden="false" customHeight="false" outlineLevel="0" collapsed="false">
      <c r="A9" s="6" t="s">
        <v>30</v>
      </c>
      <c r="B9" s="7" t="n">
        <v>6</v>
      </c>
      <c r="C9" s="7" t="n">
        <v>3</v>
      </c>
      <c r="D9" s="7" t="s">
        <v>26</v>
      </c>
      <c r="E9" s="8" t="str">
        <f aca="false">IF(VLOOKUP("C",$A$5:$C$13,3,0)&lt;=C9,"OK","違反前置關係")</f>
        <v>OK</v>
      </c>
      <c r="G9" s="8" t="n">
        <v>5</v>
      </c>
      <c r="H9" s="8" t="n">
        <f aca="false">SUMIF($C$5:$C$13,G9,$B$5:$B$13)</f>
        <v>6</v>
      </c>
      <c r="I9" s="8" t="str">
        <f aca="false">IF(H9&gt;$L$1,"超過CT","OK")</f>
        <v>OK</v>
      </c>
      <c r="N9" s="8" t="n">
        <f aca="false">$L$1</f>
        <v>12</v>
      </c>
    </row>
    <row r="10" customFormat="false" ht="15" hidden="false" customHeight="false" outlineLevel="0" collapsed="false">
      <c r="A10" s="6" t="s">
        <v>31</v>
      </c>
      <c r="B10" s="7" t="n">
        <v>5</v>
      </c>
      <c r="C10" s="7" t="n">
        <v>3</v>
      </c>
      <c r="D10" s="7" t="s">
        <v>32</v>
      </c>
      <c r="E10" s="8" t="str">
        <f aca="false">IF(MAX(VLOOKUP("D",$A$5:$C$13,3,0),VLOOKUP("E",$A$5:$C$13,3,0))&lt;=C10,"OK","違反前置關係")</f>
        <v>OK</v>
      </c>
    </row>
    <row r="11" customFormat="false" ht="15" hidden="false" customHeight="false" outlineLevel="0" collapsed="false">
      <c r="A11" s="6" t="s">
        <v>34</v>
      </c>
      <c r="B11" s="7" t="n">
        <v>4</v>
      </c>
      <c r="C11" s="7" t="n">
        <v>4</v>
      </c>
      <c r="D11" s="7" t="s">
        <v>31</v>
      </c>
      <c r="E11" s="8" t="str">
        <f aca="false">IF(VLOOKUP("F",$A$5:$C$13,3,0)&lt;=C11,"OK","違反前置關係")</f>
        <v>OK</v>
      </c>
    </row>
    <row r="12" customFormat="false" ht="15" hidden="false" customHeight="false" outlineLevel="0" collapsed="false">
      <c r="A12" s="6" t="s">
        <v>36</v>
      </c>
      <c r="B12" s="7" t="n">
        <v>3</v>
      </c>
      <c r="C12" s="7" t="n">
        <v>4</v>
      </c>
      <c r="D12" s="7" t="s">
        <v>31</v>
      </c>
      <c r="E12" s="8" t="str">
        <f aca="false">IF(VLOOKUP("F",$A$5:$C$13,3,0)&lt;=C12,"OK","違反前置關係")</f>
        <v>OK</v>
      </c>
    </row>
    <row r="13" customFormat="false" ht="15" hidden="false" customHeight="false" outlineLevel="0" collapsed="false">
      <c r="A13" s="6" t="s">
        <v>35</v>
      </c>
      <c r="B13" s="7" t="n">
        <v>6</v>
      </c>
      <c r="C13" s="7" t="n">
        <v>5</v>
      </c>
      <c r="D13" s="7" t="s">
        <v>37</v>
      </c>
      <c r="E13" s="8" t="str">
        <f aca="false">IF(MAX(VLOOKUP("G",$A$5:$C$13,3,0),VLOOKUP("H",$A$5:$C$13,3,0))&lt;=C13,"OK","違反前置關係")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7"/>
    <col collapsed="false" customWidth="true" hidden="false" outlineLevel="0" max="7" min="7" style="0" width="3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3"/>
    <col collapsed="false" customWidth="true" hidden="false" outlineLevel="0" max="11" min="11" style="0" width="8"/>
  </cols>
  <sheetData>
    <row r="1" customFormat="false" ht="21.6" hidden="false" customHeight="false" outlineLevel="0" collapsed="false">
      <c r="A1" s="1" t="s">
        <v>52</v>
      </c>
      <c r="K1" s="7" t="n">
        <v>12</v>
      </c>
    </row>
    <row r="2" customFormat="false" ht="15" hidden="false" customHeight="false" outlineLevel="0" collapsed="false">
      <c r="A2" s="2" t="s">
        <v>53</v>
      </c>
    </row>
    <row r="4" customFormat="false" ht="29.85" hidden="false" customHeight="false" outlineLevel="0" collapsed="false">
      <c r="A4" s="3" t="s">
        <v>16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58</v>
      </c>
      <c r="H4" s="3" t="s">
        <v>59</v>
      </c>
      <c r="I4" s="3" t="s">
        <v>17</v>
      </c>
    </row>
    <row r="5" customFormat="false" ht="15" hidden="false" customHeight="false" outlineLevel="0" collapsed="false">
      <c r="A5" s="6" t="s">
        <v>22</v>
      </c>
      <c r="B5" s="7" t="n">
        <v>1</v>
      </c>
      <c r="C5" s="7" t="n">
        <v>0</v>
      </c>
      <c r="D5" s="7" t="n">
        <v>0</v>
      </c>
      <c r="E5" s="7" t="n">
        <v>0</v>
      </c>
      <c r="F5" s="7" t="n">
        <v>0</v>
      </c>
      <c r="H5" s="8" t="n">
        <f aca="false">SUM(B5:F5)</f>
        <v>1</v>
      </c>
      <c r="I5" s="8" t="n">
        <v>5</v>
      </c>
    </row>
    <row r="6" customFormat="false" ht="15" hidden="false" customHeight="false" outlineLevel="0" collapsed="false">
      <c r="A6" s="6" t="s">
        <v>24</v>
      </c>
      <c r="B6" s="7" t="n">
        <v>1</v>
      </c>
      <c r="C6" s="7" t="n">
        <v>0</v>
      </c>
      <c r="D6" s="7" t="n">
        <v>0</v>
      </c>
      <c r="E6" s="7" t="n">
        <v>0</v>
      </c>
      <c r="F6" s="7" t="n">
        <v>0</v>
      </c>
      <c r="H6" s="8" t="n">
        <f aca="false">SUM(B6:F6)</f>
        <v>1</v>
      </c>
      <c r="I6" s="8" t="n">
        <v>3</v>
      </c>
    </row>
    <row r="7" customFormat="false" ht="15" hidden="false" customHeight="false" outlineLevel="0" collapsed="false">
      <c r="A7" s="6" t="s">
        <v>26</v>
      </c>
      <c r="B7" s="7" t="n">
        <v>1</v>
      </c>
      <c r="C7" s="7" t="n">
        <v>0</v>
      </c>
      <c r="D7" s="7" t="n">
        <v>0</v>
      </c>
      <c r="E7" s="7" t="n">
        <v>0</v>
      </c>
      <c r="F7" s="7" t="n">
        <v>0</v>
      </c>
      <c r="H7" s="8" t="n">
        <f aca="false">SUM(B7:F7)</f>
        <v>1</v>
      </c>
      <c r="I7" s="8" t="n">
        <v>4</v>
      </c>
    </row>
    <row r="8" customFormat="false" ht="15" hidden="false" customHeight="false" outlineLevel="0" collapsed="false">
      <c r="A8" s="6" t="s">
        <v>28</v>
      </c>
      <c r="B8" s="7" t="n">
        <v>0</v>
      </c>
      <c r="C8" s="7" t="n">
        <v>1</v>
      </c>
      <c r="D8" s="7" t="n">
        <v>0</v>
      </c>
      <c r="E8" s="7" t="n">
        <v>0</v>
      </c>
      <c r="F8" s="7" t="n">
        <v>0</v>
      </c>
      <c r="H8" s="8" t="n">
        <f aca="false">SUM(B8:F8)</f>
        <v>1</v>
      </c>
      <c r="I8" s="8" t="n">
        <v>7</v>
      </c>
    </row>
    <row r="9" customFormat="false" ht="15" hidden="false" customHeight="false" outlineLevel="0" collapsed="false">
      <c r="A9" s="6" t="s">
        <v>30</v>
      </c>
      <c r="B9" s="7" t="n">
        <v>0</v>
      </c>
      <c r="C9" s="7" t="n">
        <v>0</v>
      </c>
      <c r="D9" s="7" t="n">
        <v>1</v>
      </c>
      <c r="E9" s="7" t="n">
        <v>0</v>
      </c>
      <c r="F9" s="7" t="n">
        <v>0</v>
      </c>
      <c r="H9" s="8" t="n">
        <f aca="false">SUM(B9:F9)</f>
        <v>1</v>
      </c>
      <c r="I9" s="8" t="n">
        <v>6</v>
      </c>
    </row>
    <row r="10" customFormat="false" ht="15" hidden="false" customHeight="false" outlineLevel="0" collapsed="false">
      <c r="A10" s="6" t="s">
        <v>31</v>
      </c>
      <c r="B10" s="7" t="n">
        <v>0</v>
      </c>
      <c r="C10" s="7" t="n">
        <v>0</v>
      </c>
      <c r="D10" s="7" t="n">
        <v>1</v>
      </c>
      <c r="E10" s="7" t="n">
        <v>0</v>
      </c>
      <c r="F10" s="7" t="n">
        <v>0</v>
      </c>
      <c r="H10" s="8" t="n">
        <f aca="false">SUM(B10:F10)</f>
        <v>1</v>
      </c>
      <c r="I10" s="8" t="n">
        <v>5</v>
      </c>
    </row>
    <row r="11" customFormat="false" ht="15" hidden="false" customHeight="false" outlineLevel="0" collapsed="false">
      <c r="A11" s="6" t="s">
        <v>34</v>
      </c>
      <c r="B11" s="7" t="n">
        <v>0</v>
      </c>
      <c r="C11" s="7" t="n">
        <v>0</v>
      </c>
      <c r="D11" s="7" t="n">
        <v>0</v>
      </c>
      <c r="E11" s="7" t="n">
        <v>1</v>
      </c>
      <c r="F11" s="7" t="n">
        <v>0</v>
      </c>
      <c r="H11" s="8" t="n">
        <f aca="false">SUM(B11:F11)</f>
        <v>1</v>
      </c>
      <c r="I11" s="8" t="n">
        <v>4</v>
      </c>
    </row>
    <row r="12" customFormat="false" ht="15" hidden="false" customHeight="false" outlineLevel="0" collapsed="false">
      <c r="A12" s="6" t="s">
        <v>36</v>
      </c>
      <c r="B12" s="7" t="n">
        <v>0</v>
      </c>
      <c r="C12" s="7" t="n">
        <v>0</v>
      </c>
      <c r="D12" s="7" t="n">
        <v>0</v>
      </c>
      <c r="E12" s="7" t="n">
        <v>1</v>
      </c>
      <c r="F12" s="7" t="n">
        <v>0</v>
      </c>
      <c r="H12" s="8" t="n">
        <f aca="false">SUM(B12:F12)</f>
        <v>1</v>
      </c>
      <c r="I12" s="8" t="n">
        <v>3</v>
      </c>
    </row>
    <row r="13" customFormat="false" ht="15" hidden="false" customHeight="false" outlineLevel="0" collapsed="false">
      <c r="A13" s="6" t="s">
        <v>35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1</v>
      </c>
      <c r="H13" s="8" t="n">
        <f aca="false">SUM(B13:F13)</f>
        <v>1</v>
      </c>
      <c r="I13" s="8" t="n">
        <v>6</v>
      </c>
    </row>
    <row r="15" customFormat="false" ht="15" hidden="false" customHeight="false" outlineLevel="0" collapsed="false">
      <c r="A15" s="10" t="s">
        <v>60</v>
      </c>
      <c r="B15" s="8" t="n">
        <f aca="false">$I$5*B5+$I$6*B6+$I$7*B7+$I$8*B8+$I$9*B9+$I$10*B10+$I$11*B11+$I$12*B12+$I$13*B13</f>
        <v>12</v>
      </c>
      <c r="C15" s="8" t="n">
        <f aca="false">$I$5*C5+$I$6*C6+$I$7*C7+$I$8*C8+$I$9*C9+$I$10*C10+$I$11*C11+$I$12*C12+$I$13*C13</f>
        <v>7</v>
      </c>
      <c r="D15" s="8" t="n">
        <f aca="false">$I$5*D5+$I$6*D6+$I$7*D7+$I$8*D8+$I$9*D9+$I$10*D10+$I$11*D11+$I$12*D12+$I$13*D13</f>
        <v>11</v>
      </c>
      <c r="E15" s="8" t="n">
        <f aca="false">$I$5*E5+$I$6*E6+$I$7*E7+$I$8*E8+$I$9*E9+$I$10*E10+$I$11*E11+$I$12*E12+$I$13*E13</f>
        <v>7</v>
      </c>
      <c r="F15" s="8" t="n">
        <f aca="false">$I$5*F5+$I$6*F6+$I$7*F7+$I$8*F8+$I$9*F9+$I$10*F10+$I$11*F11+$I$12*F12+$I$13*F13</f>
        <v>6</v>
      </c>
    </row>
    <row r="16" customFormat="false" ht="17.15" hidden="false" customHeight="false" outlineLevel="0" collapsed="false">
      <c r="A16" s="9" t="s">
        <v>61</v>
      </c>
      <c r="B16" s="8" t="str">
        <f aca="false">IF(B15&gt;$K$1,"超過CT","OK")</f>
        <v>OK</v>
      </c>
      <c r="C16" s="8" t="str">
        <f aca="false">IF(C15&gt;$K$1,"超過CT","OK")</f>
        <v>OK</v>
      </c>
      <c r="D16" s="8" t="str">
        <f aca="false">IF(D15&gt;$K$1,"超過CT","OK")</f>
        <v>OK</v>
      </c>
      <c r="E16" s="8" t="str">
        <f aca="false">IF(E15&gt;$K$1,"超過CT","OK")</f>
        <v>OK</v>
      </c>
      <c r="F16" s="8" t="str">
        <f aca="false">IF(F15&gt;$K$1,"超過CT","OK")</f>
        <v>OK</v>
      </c>
    </row>
    <row r="18" customFormat="false" ht="17.15" hidden="false" customHeight="false" outlineLevel="0" collapsed="false">
      <c r="A18" s="10" t="s">
        <v>62</v>
      </c>
      <c r="B18" s="7" t="n">
        <v>1</v>
      </c>
      <c r="C18" s="7" t="n">
        <v>1</v>
      </c>
      <c r="D18" s="7" t="n">
        <v>1</v>
      </c>
      <c r="E18" s="7" t="n">
        <v>1</v>
      </c>
      <c r="F18" s="7" t="n">
        <v>1</v>
      </c>
    </row>
    <row r="19" customFormat="false" ht="17.15" hidden="false" customHeight="false" outlineLevel="0" collapsed="false">
      <c r="A19" s="10" t="s">
        <v>63</v>
      </c>
      <c r="B19" s="8" t="n">
        <f aca="false">SUM(B18:F18)</f>
        <v>5</v>
      </c>
    </row>
    <row r="21" customFormat="false" ht="17.15" hidden="false" customHeight="false" outlineLevel="0" collapsed="false">
      <c r="A21" s="10" t="s">
        <v>64</v>
      </c>
    </row>
    <row r="22" customFormat="false" ht="32.8" hidden="false" customHeight="false" outlineLevel="0" collapsed="false">
      <c r="A22" s="3" t="s">
        <v>65</v>
      </c>
      <c r="B22" s="3" t="s">
        <v>66</v>
      </c>
      <c r="C22" s="3" t="s">
        <v>67</v>
      </c>
      <c r="D22" s="3" t="s">
        <v>68</v>
      </c>
      <c r="E22" s="3" t="s">
        <v>69</v>
      </c>
    </row>
    <row r="23" customFormat="false" ht="15" hidden="false" customHeight="false" outlineLevel="0" collapsed="false">
      <c r="A23" s="12" t="s">
        <v>22</v>
      </c>
      <c r="B23" s="12" t="s">
        <v>24</v>
      </c>
      <c r="C23" s="8" t="n">
        <f aca="false">SUMPRODUCT({1,2,3,4,5},B5:F5)</f>
        <v>1</v>
      </c>
      <c r="D23" s="8" t="n">
        <f aca="false">SUMPRODUCT({1,2,3,4,5},B6:F6)</f>
        <v>1</v>
      </c>
      <c r="E23" s="8" t="str">
        <f aca="false">IF(C23&lt;=D23,"OK","違反前置關係")</f>
        <v>OK</v>
      </c>
    </row>
    <row r="24" customFormat="false" ht="15" hidden="false" customHeight="false" outlineLevel="0" collapsed="false">
      <c r="A24" s="12" t="s">
        <v>22</v>
      </c>
      <c r="B24" s="12" t="s">
        <v>26</v>
      </c>
      <c r="C24" s="8" t="n">
        <f aca="false">SUMPRODUCT({1,2,3,4,5},B5:F5)</f>
        <v>1</v>
      </c>
      <c r="D24" s="8" t="n">
        <f aca="false">SUMPRODUCT({1,2,3,4,5},B7:F7)</f>
        <v>1</v>
      </c>
      <c r="E24" s="8" t="str">
        <f aca="false">IF(C24&lt;=D24,"OK","違反前置關係")</f>
        <v>OK</v>
      </c>
    </row>
    <row r="25" customFormat="false" ht="15" hidden="false" customHeight="false" outlineLevel="0" collapsed="false">
      <c r="A25" s="12" t="s">
        <v>24</v>
      </c>
      <c r="B25" s="12" t="s">
        <v>28</v>
      </c>
      <c r="C25" s="8" t="n">
        <f aca="false">SUMPRODUCT({1,2,3,4,5},B6:F6)</f>
        <v>1</v>
      </c>
      <c r="D25" s="8" t="n">
        <f aca="false">SUMPRODUCT({1,2,3,4,5},B8:F8)</f>
        <v>2</v>
      </c>
      <c r="E25" s="8" t="str">
        <f aca="false">IF(C25&lt;=D25,"OK","違反前置關係")</f>
        <v>OK</v>
      </c>
    </row>
    <row r="26" customFormat="false" ht="15" hidden="false" customHeight="false" outlineLevel="0" collapsed="false">
      <c r="A26" s="12" t="s">
        <v>26</v>
      </c>
      <c r="B26" s="12" t="s">
        <v>30</v>
      </c>
      <c r="C26" s="8" t="n">
        <f aca="false">SUMPRODUCT({1,2,3,4,5},B7:F7)</f>
        <v>1</v>
      </c>
      <c r="D26" s="8" t="n">
        <f aca="false">SUMPRODUCT({1,2,3,4,5},B9:F9)</f>
        <v>3</v>
      </c>
      <c r="E26" s="8" t="str">
        <f aca="false">IF(C26&lt;=D26,"OK","違反前置關係")</f>
        <v>OK</v>
      </c>
    </row>
    <row r="27" customFormat="false" ht="15" hidden="false" customHeight="false" outlineLevel="0" collapsed="false">
      <c r="A27" s="12" t="s">
        <v>28</v>
      </c>
      <c r="B27" s="12" t="s">
        <v>31</v>
      </c>
      <c r="C27" s="8" t="n">
        <f aca="false">SUMPRODUCT({1,2,3,4,5},B8:F8)</f>
        <v>2</v>
      </c>
      <c r="D27" s="8" t="n">
        <f aca="false">SUMPRODUCT({1,2,3,4,5},B10:F10)</f>
        <v>3</v>
      </c>
      <c r="E27" s="8" t="str">
        <f aca="false">IF(C27&lt;=D27,"OK","違反前置關係")</f>
        <v>OK</v>
      </c>
    </row>
    <row r="28" customFormat="false" ht="15" hidden="false" customHeight="false" outlineLevel="0" collapsed="false">
      <c r="A28" s="12" t="s">
        <v>30</v>
      </c>
      <c r="B28" s="12" t="s">
        <v>31</v>
      </c>
      <c r="C28" s="8" t="n">
        <f aca="false">SUMPRODUCT({1,2,3,4,5},B9:F9)</f>
        <v>3</v>
      </c>
      <c r="D28" s="8" t="n">
        <f aca="false">SUMPRODUCT({1,2,3,4,5},B10:F10)</f>
        <v>3</v>
      </c>
      <c r="E28" s="8" t="str">
        <f aca="false">IF(C28&lt;=D28,"OK","違反前置關係")</f>
        <v>OK</v>
      </c>
    </row>
    <row r="29" customFormat="false" ht="15" hidden="false" customHeight="false" outlineLevel="0" collapsed="false">
      <c r="A29" s="12" t="s">
        <v>31</v>
      </c>
      <c r="B29" s="12" t="s">
        <v>34</v>
      </c>
      <c r="C29" s="8" t="n">
        <f aca="false">SUMPRODUCT({1,2,3,4,5},B10:F10)</f>
        <v>3</v>
      </c>
      <c r="D29" s="8" t="n">
        <f aca="false">SUMPRODUCT({1,2,3,4,5},B11:F11)</f>
        <v>4</v>
      </c>
      <c r="E29" s="8" t="str">
        <f aca="false">IF(C29&lt;=D29,"OK","違反前置關係")</f>
        <v>OK</v>
      </c>
    </row>
    <row r="30" customFormat="false" ht="15" hidden="false" customHeight="false" outlineLevel="0" collapsed="false">
      <c r="A30" s="12" t="s">
        <v>31</v>
      </c>
      <c r="B30" s="12" t="s">
        <v>36</v>
      </c>
      <c r="C30" s="8" t="n">
        <f aca="false">SUMPRODUCT({1,2,3,4,5},B10:F10)</f>
        <v>3</v>
      </c>
      <c r="D30" s="8" t="n">
        <f aca="false">SUMPRODUCT({1,2,3,4,5},B12:F12)</f>
        <v>4</v>
      </c>
      <c r="E30" s="8" t="str">
        <f aca="false">IF(C30&lt;=D30,"OK","違反前置關係")</f>
        <v>OK</v>
      </c>
    </row>
    <row r="31" customFormat="false" ht="15" hidden="false" customHeight="false" outlineLevel="0" collapsed="false">
      <c r="A31" s="12" t="s">
        <v>34</v>
      </c>
      <c r="B31" s="12" t="s">
        <v>35</v>
      </c>
      <c r="C31" s="8" t="n">
        <f aca="false">SUMPRODUCT({1,2,3,4,5},B11:F11)</f>
        <v>4</v>
      </c>
      <c r="D31" s="8" t="n">
        <f aca="false">SUMPRODUCT({1,2,3,4,5},B13:F13)</f>
        <v>5</v>
      </c>
      <c r="E31" s="8" t="str">
        <f aca="false">IF(C31&lt;=D31,"OK","違反前置關係")</f>
        <v>OK</v>
      </c>
    </row>
    <row r="32" customFormat="false" ht="15" hidden="false" customHeight="false" outlineLevel="0" collapsed="false">
      <c r="A32" s="12" t="s">
        <v>36</v>
      </c>
      <c r="B32" s="12" t="s">
        <v>35</v>
      </c>
      <c r="C32" s="8" t="n">
        <f aca="false">SUMPRODUCT({1,2,3,4,5},B12:F12)</f>
        <v>4</v>
      </c>
      <c r="D32" s="8" t="n">
        <f aca="false">SUMPRODUCT({1,2,3,4,5},B13:F13)</f>
        <v>5</v>
      </c>
      <c r="E32" s="8" t="str">
        <f aca="false">IF(C32&lt;=D32,"OK","違反前置關係")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20"/>
  </cols>
  <sheetData>
    <row r="1" customFormat="false" ht="21.6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4" customFormat="false" ht="32.8" hidden="false" customHeight="false" outlineLevel="0" collapsed="false">
      <c r="A4" s="3" t="s">
        <v>16</v>
      </c>
      <c r="B4" s="3" t="s">
        <v>17</v>
      </c>
      <c r="C4" s="3" t="s">
        <v>18</v>
      </c>
      <c r="D4" s="3" t="s">
        <v>19</v>
      </c>
      <c r="E4" s="3" t="s">
        <v>72</v>
      </c>
      <c r="F4" s="3" t="s">
        <v>73</v>
      </c>
    </row>
    <row r="5" customFormat="false" ht="15" hidden="false" customHeight="false" outlineLevel="0" collapsed="false">
      <c r="A5" s="6" t="s">
        <v>22</v>
      </c>
      <c r="B5" s="7" t="n">
        <v>8</v>
      </c>
      <c r="C5" s="7"/>
      <c r="D5" s="7" t="s">
        <v>74</v>
      </c>
      <c r="E5" s="8" t="n">
        <f aca="false">B5+SUMPRODUCT(($B$5:$B$11)*ISNUMBER(SEARCH(","&amp;$A$5:$A$11&amp;",",","&amp;D5&amp;",")))</f>
        <v>41</v>
      </c>
      <c r="F5" s="7"/>
    </row>
    <row r="6" customFormat="false" ht="15" hidden="false" customHeight="false" outlineLevel="0" collapsed="false">
      <c r="A6" s="6" t="s">
        <v>24</v>
      </c>
      <c r="B6" s="7" t="n">
        <v>4</v>
      </c>
      <c r="C6" s="7" t="s">
        <v>22</v>
      </c>
      <c r="D6" s="7" t="s">
        <v>75</v>
      </c>
      <c r="E6" s="8" t="n">
        <f aca="false">B6+SUMPRODUCT(($B$5:$B$11)*ISNUMBER(SEARCH(","&amp;$A$5:$A$11&amp;",",","&amp;D6&amp;",")))</f>
        <v>23</v>
      </c>
      <c r="F6" s="7"/>
    </row>
    <row r="7" customFormat="false" ht="15" hidden="false" customHeight="false" outlineLevel="0" collapsed="false">
      <c r="A7" s="6" t="s">
        <v>26</v>
      </c>
      <c r="B7" s="7" t="n">
        <v>5</v>
      </c>
      <c r="C7" s="7" t="s">
        <v>22</v>
      </c>
      <c r="D7" s="7" t="s">
        <v>76</v>
      </c>
      <c r="E7" s="8" t="n">
        <f aca="false">B7+SUMPRODUCT(($B$5:$B$11)*ISNUMBER(SEARCH(","&amp;$A$5:$A$11&amp;",",","&amp;D7&amp;",")))</f>
        <v>23</v>
      </c>
      <c r="F7" s="7"/>
    </row>
    <row r="8" customFormat="false" ht="15" hidden="false" customHeight="false" outlineLevel="0" collapsed="false">
      <c r="A8" s="6" t="s">
        <v>28</v>
      </c>
      <c r="B8" s="7" t="n">
        <v>6</v>
      </c>
      <c r="C8" s="7" t="s">
        <v>24</v>
      </c>
      <c r="D8" s="7" t="s">
        <v>77</v>
      </c>
      <c r="E8" s="8" t="n">
        <f aca="false">B8+SUMPRODUCT(($B$5:$B$11)*ISNUMBER(SEARCH(","&amp;$A$5:$A$11&amp;",",","&amp;D8&amp;",")))</f>
        <v>19</v>
      </c>
      <c r="F8" s="7"/>
    </row>
    <row r="9" customFormat="false" ht="15" hidden="false" customHeight="false" outlineLevel="0" collapsed="false">
      <c r="A9" s="6" t="s">
        <v>30</v>
      </c>
      <c r="B9" s="7" t="n">
        <v>5</v>
      </c>
      <c r="C9" s="7" t="s">
        <v>26</v>
      </c>
      <c r="D9" s="7" t="s">
        <v>77</v>
      </c>
      <c r="E9" s="8" t="n">
        <f aca="false">B9+SUMPRODUCT(($B$5:$B$11)*ISNUMBER(SEARCH(","&amp;$A$5:$A$11&amp;",",","&amp;D9&amp;",")))</f>
        <v>18</v>
      </c>
      <c r="F9" s="7"/>
    </row>
    <row r="10" customFormat="false" ht="15" hidden="false" customHeight="false" outlineLevel="0" collapsed="false">
      <c r="A10" s="6" t="s">
        <v>31</v>
      </c>
      <c r="B10" s="7" t="n">
        <v>7</v>
      </c>
      <c r="C10" s="7" t="s">
        <v>32</v>
      </c>
      <c r="D10" s="7" t="s">
        <v>34</v>
      </c>
      <c r="E10" s="8" t="n">
        <f aca="false">B10+SUMPRODUCT(($B$5:$B$11)*ISNUMBER(SEARCH(","&amp;$A$5:$A$11&amp;",",","&amp;D10&amp;",")))</f>
        <v>13</v>
      </c>
      <c r="F10" s="7"/>
    </row>
    <row r="11" customFormat="false" ht="15" hidden="false" customHeight="false" outlineLevel="0" collapsed="false">
      <c r="A11" s="6" t="s">
        <v>34</v>
      </c>
      <c r="B11" s="7" t="n">
        <v>6</v>
      </c>
      <c r="C11" s="7" t="s">
        <v>31</v>
      </c>
      <c r="D11" s="7"/>
      <c r="E11" s="8" t="n">
        <f aca="false">B11+SUMPRODUCT(($B$5:$B$11)*ISNUMBER(SEARCH(","&amp;$A$5:$A$11&amp;",",","&amp;D11&amp;",")))</f>
        <v>6</v>
      </c>
      <c r="F11" s="7"/>
    </row>
    <row r="13" customFormat="false" ht="15" hidden="false" customHeight="false" outlineLevel="0" collapsed="false">
      <c r="A13" s="9" t="s">
        <v>39</v>
      </c>
      <c r="B13" s="7" t="n">
        <v>15</v>
      </c>
    </row>
    <row r="14" customFormat="false" ht="15" hidden="false" customHeight="false" outlineLevel="0" collapsed="false">
      <c r="A14" s="10" t="s">
        <v>41</v>
      </c>
      <c r="B14" s="8" t="n">
        <f aca="false">SUM(B5:B11)</f>
        <v>41</v>
      </c>
    </row>
    <row r="15" customFormat="false" ht="17.15" hidden="false" customHeight="false" outlineLevel="0" collapsed="false">
      <c r="A15" s="10" t="s">
        <v>78</v>
      </c>
      <c r="B15" s="8" t="n">
        <f aca="false">ROUNDUP(B14/B13,0)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20"/>
  </cols>
  <sheetData>
    <row r="1" customFormat="false" ht="21.6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71</v>
      </c>
    </row>
    <row r="4" customFormat="false" ht="32.8" hidden="false" customHeight="false" outlineLevel="0" collapsed="false">
      <c r="A4" s="3" t="s">
        <v>16</v>
      </c>
      <c r="B4" s="3" t="s">
        <v>17</v>
      </c>
      <c r="C4" s="3" t="s">
        <v>18</v>
      </c>
      <c r="D4" s="3" t="s">
        <v>19</v>
      </c>
      <c r="E4" s="3" t="s">
        <v>72</v>
      </c>
      <c r="F4" s="3" t="s">
        <v>73</v>
      </c>
    </row>
    <row r="5" customFormat="false" ht="15" hidden="false" customHeight="false" outlineLevel="0" collapsed="false">
      <c r="A5" s="6" t="s">
        <v>22</v>
      </c>
      <c r="B5" s="7" t="n">
        <v>4</v>
      </c>
      <c r="C5" s="7"/>
      <c r="D5" s="7" t="s">
        <v>80</v>
      </c>
      <c r="E5" s="8" t="n">
        <f aca="false">B5+SUMPRODUCT(($B$5:$B$12)*ISNUMBER(SEARCH(","&amp;$A$5:$A$12&amp;",",","&amp;D5&amp;",")))</f>
        <v>38</v>
      </c>
      <c r="F5" s="7"/>
    </row>
    <row r="6" customFormat="false" ht="15" hidden="false" customHeight="false" outlineLevel="0" collapsed="false">
      <c r="A6" s="6" t="s">
        <v>24</v>
      </c>
      <c r="B6" s="7" t="n">
        <v>5</v>
      </c>
      <c r="C6" s="7" t="s">
        <v>22</v>
      </c>
      <c r="D6" s="7" t="s">
        <v>81</v>
      </c>
      <c r="E6" s="8" t="n">
        <f aca="false">B6+SUMPRODUCT(($B$5:$B$12)*ISNUMBER(SEARCH(","&amp;$A$5:$A$12&amp;",",","&amp;D6&amp;",")))</f>
        <v>23</v>
      </c>
      <c r="F6" s="7"/>
    </row>
    <row r="7" customFormat="false" ht="15" hidden="false" customHeight="false" outlineLevel="0" collapsed="false">
      <c r="A7" s="6" t="s">
        <v>26</v>
      </c>
      <c r="B7" s="7" t="n">
        <v>6</v>
      </c>
      <c r="C7" s="7" t="s">
        <v>22</v>
      </c>
      <c r="D7" s="7" t="s">
        <v>82</v>
      </c>
      <c r="E7" s="8" t="n">
        <f aca="false">B7+SUMPRODUCT(($B$5:$B$12)*ISNUMBER(SEARCH(","&amp;$A$5:$A$12&amp;",",","&amp;D7&amp;",")))</f>
        <v>25</v>
      </c>
      <c r="F7" s="7"/>
    </row>
    <row r="8" customFormat="false" ht="15" hidden="false" customHeight="false" outlineLevel="0" collapsed="false">
      <c r="A8" s="6" t="s">
        <v>28</v>
      </c>
      <c r="B8" s="7" t="n">
        <v>4</v>
      </c>
      <c r="C8" s="7" t="s">
        <v>24</v>
      </c>
      <c r="D8" s="7" t="s">
        <v>83</v>
      </c>
      <c r="E8" s="8" t="n">
        <f aca="false">B8+SUMPRODUCT(($B$5:$B$12)*ISNUMBER(SEARCH(","&amp;$A$5:$A$12&amp;",",","&amp;D8&amp;",")))</f>
        <v>18</v>
      </c>
      <c r="F8" s="7"/>
    </row>
    <row r="9" customFormat="false" ht="15" hidden="false" customHeight="false" outlineLevel="0" collapsed="false">
      <c r="A9" s="6" t="s">
        <v>30</v>
      </c>
      <c r="B9" s="7" t="n">
        <v>5</v>
      </c>
      <c r="C9" s="7" t="s">
        <v>26</v>
      </c>
      <c r="D9" s="7" t="s">
        <v>83</v>
      </c>
      <c r="E9" s="8" t="n">
        <f aca="false">B9+SUMPRODUCT(($B$5:$B$12)*ISNUMBER(SEARCH(","&amp;$A$5:$A$12&amp;",",","&amp;D9&amp;",")))</f>
        <v>19</v>
      </c>
      <c r="F9" s="7"/>
    </row>
    <row r="10" customFormat="false" ht="15" hidden="false" customHeight="false" outlineLevel="0" collapsed="false">
      <c r="A10" s="6" t="s">
        <v>31</v>
      </c>
      <c r="B10" s="7" t="n">
        <v>6</v>
      </c>
      <c r="C10" s="7" t="s">
        <v>32</v>
      </c>
      <c r="D10" s="7" t="s">
        <v>37</v>
      </c>
      <c r="E10" s="8" t="n">
        <f aca="false">B10+SUMPRODUCT(($B$5:$B$12)*ISNUMBER(SEARCH(","&amp;$A$5:$A$12&amp;",",","&amp;D10&amp;",")))</f>
        <v>14</v>
      </c>
      <c r="F10" s="7"/>
    </row>
    <row r="11" customFormat="false" ht="15" hidden="false" customHeight="false" outlineLevel="0" collapsed="false">
      <c r="A11" s="6" t="s">
        <v>34</v>
      </c>
      <c r="B11" s="7" t="n">
        <v>3</v>
      </c>
      <c r="C11" s="7" t="s">
        <v>31</v>
      </c>
      <c r="D11" s="7" t="s">
        <v>36</v>
      </c>
      <c r="E11" s="8" t="n">
        <f aca="false">B11+SUMPRODUCT(($B$5:$B$12)*ISNUMBER(SEARCH(","&amp;$A$5:$A$12&amp;",",","&amp;D11&amp;",")))</f>
        <v>8</v>
      </c>
      <c r="F11" s="7"/>
    </row>
    <row r="12" customFormat="false" ht="15" hidden="false" customHeight="false" outlineLevel="0" collapsed="false">
      <c r="A12" s="6" t="s">
        <v>36</v>
      </c>
      <c r="B12" s="7" t="n">
        <v>5</v>
      </c>
      <c r="C12" s="7" t="s">
        <v>34</v>
      </c>
      <c r="D12" s="7"/>
      <c r="E12" s="8" t="n">
        <f aca="false">B12+SUMPRODUCT(($B$5:$B$12)*ISNUMBER(SEARCH(","&amp;$A$5:$A$12&amp;",",","&amp;D12&amp;",")))</f>
        <v>5</v>
      </c>
      <c r="F12" s="7"/>
    </row>
    <row r="14" customFormat="false" ht="15" hidden="false" customHeight="false" outlineLevel="0" collapsed="false">
      <c r="A14" s="9" t="s">
        <v>39</v>
      </c>
      <c r="B14" s="7" t="n">
        <v>10</v>
      </c>
    </row>
    <row r="15" customFormat="false" ht="15" hidden="false" customHeight="false" outlineLevel="0" collapsed="false">
      <c r="A15" s="10" t="s">
        <v>41</v>
      </c>
      <c r="B15" s="8" t="n">
        <f aca="false">SUM(B5:B12)</f>
        <v>38</v>
      </c>
    </row>
    <row r="16" customFormat="false" ht="17.15" hidden="false" customHeight="false" outlineLevel="0" collapsed="false">
      <c r="A16" s="10" t="s">
        <v>78</v>
      </c>
      <c r="B16" s="8" t="n">
        <f aca="false">ROUNDUP(B15/B14,0)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2026-09-15T03:59:05Z</dcterms:created>
  <dc:creator>openpyxl</dc:creator>
  <dc:description/>
  <dc:language>en-US</dc:language>
  <cp:lastModifiedBy/>
  <dcterms:modified xsi:type="dcterms:W3CDTF">2026-09-15T03:59:12Z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