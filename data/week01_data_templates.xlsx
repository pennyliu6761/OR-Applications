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資料彙整" sheetId="1" state="visible" r:id="rId3"/>
    <sheet name="01_SES示範_油料" sheetId="2" state="visible" r:id="rId4"/>
    <sheet name="02_Holt示範_備品" sheetId="3" state="visible" r:id="rId5"/>
    <sheet name="03_Winters示範_彈藥" sheetId="4" state="visible" r:id="rId6"/>
    <sheet name="04_追蹤訊號_油料" sheetId="5" state="visible" r:id="rId7"/>
    <sheet name="05_練習1_MA_WMA_通信器材" sheetId="6" state="visible" r:id="rId8"/>
    <sheet name="06_練習2_SES比較_半成品" sheetId="7" state="visible" r:id="rId9"/>
    <sheet name="07_練習3_Holt_帳篷" sheetId="8" state="visible" r:id="rId10"/>
    <sheet name="08_練習4_Winters_醫療耗材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<sst xmlns="http://schemas.openxmlformats.org/spreadsheetml/2006/main" count="120" uniqueCount="84">
  <si>
    <r>
      <rPr>
        <b val="true"/>
        <sz val="14"/>
        <rFont val="Noto Sans CJK SC"/>
        <family val="2"/>
        <charset val="1"/>
      </rPr>
      <t xml:space="preserve">第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  <charset val="1"/>
      </rPr>
      <t xml:space="preserve">週 需求預測 — 本週模擬資料集彙整</t>
    </r>
  </si>
  <si>
    <t xml:space="preserve">以下為本週講義中所有模擬資料集，供學員自行複製至其他工作表練習使用。</t>
  </si>
  <si>
    <t xml:space="preserve">資料集名稱</t>
  </si>
  <si>
    <t xml:space="preserve">用途</t>
  </si>
  <si>
    <t xml:space="preserve">資料內容（依序）</t>
  </si>
  <si>
    <r>
      <rPr>
        <sz val="11"/>
        <color theme="1"/>
        <rFont val="Noto Sans CJK SC"/>
        <family val="2"/>
        <charset val="1"/>
      </rPr>
      <t xml:space="preserve">油料消耗（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  <charset val="1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</si>
  <si>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  <charset val="1"/>
      </rPr>
      <t xml:space="preserve">／</t>
    </r>
    <r>
      <rPr>
        <sz val="11"/>
        <color theme="1"/>
        <rFont val="Calibri"/>
        <family val="2"/>
        <charset val="1"/>
      </rPr>
      <t xml:space="preserve">WMA</t>
    </r>
    <r>
      <rPr>
        <sz val="11"/>
        <color theme="1"/>
        <rFont val="Noto Sans CJK SC"/>
        <family val="2"/>
        <charset val="1"/>
      </rPr>
      <t xml:space="preserve">／</t>
    </r>
    <r>
      <rPr>
        <sz val="11"/>
        <color theme="1"/>
        <rFont val="Calibri"/>
        <family val="2"/>
        <charset val="1"/>
      </rPr>
      <t xml:space="preserve">SES</t>
    </r>
    <r>
      <rPr>
        <sz val="11"/>
        <color theme="1"/>
        <rFont val="Noto Sans CJK SC"/>
        <family val="2"/>
        <charset val="1"/>
      </rPr>
      <t xml:space="preserve">／追蹤訊號主示範</t>
    </r>
  </si>
  <si>
    <t xml:space="preserve">480, 495, 470, 510, 500, 525, 490, 505, 515, 500, 530, 520</t>
  </si>
  <si>
    <r>
      <rPr>
        <sz val="11"/>
        <color theme="1"/>
        <rFont val="Noto Sans CJK SC"/>
        <family val="2"/>
        <charset val="1"/>
      </rPr>
      <t xml:space="preserve">備用零件需求（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  <charset val="1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</si>
  <si>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Holt </t>
    </r>
    <r>
      <rPr>
        <sz val="11"/>
        <color theme="1"/>
        <rFont val="Noto Sans CJK SC"/>
        <family val="2"/>
        <charset val="1"/>
      </rPr>
      <t xml:space="preserve">主示範</t>
    </r>
  </si>
  <si>
    <t xml:space="preserve">120, 128, 135, 145, 150, 162, 168, 180, 190, 200</t>
  </si>
  <si>
    <r>
      <rPr>
        <sz val="11"/>
        <color theme="1"/>
        <rFont val="Noto Sans CJK SC"/>
        <family val="2"/>
        <charset val="1"/>
      </rPr>
      <t xml:space="preserve">彈藥消耗（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  <charset val="1"/>
      </rPr>
      <t xml:space="preserve">年</t>
    </r>
    <r>
      <rPr>
        <sz val="11"/>
        <color theme="1"/>
        <rFont val="Calibri"/>
        <family val="2"/>
        <charset val="1"/>
      </rPr>
      <t xml:space="preserve">×4</t>
    </r>
    <r>
      <rPr>
        <sz val="11"/>
        <color theme="1"/>
        <rFont val="Noto Sans CJK SC"/>
        <family val="2"/>
        <charset val="1"/>
      </rPr>
      <t xml:space="preserve">季，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  <charset val="1"/>
      </rPr>
      <t xml:space="preserve">筆）</t>
    </r>
  </si>
  <si>
    <r>
      <rPr>
        <sz val="11"/>
        <color theme="1"/>
        <rFont val="Calibri"/>
        <family val="2"/>
        <charset val="1"/>
      </rPr>
      <t xml:space="preserve">Winters </t>
    </r>
    <r>
      <rPr>
        <sz val="11"/>
        <color theme="1"/>
        <rFont val="Noto Sans CJK SC"/>
        <family val="2"/>
        <charset val="1"/>
      </rPr>
      <t xml:space="preserve">主示範</t>
    </r>
  </si>
  <si>
    <t xml:space="preserve">200, 350, 180, 420, 220, 380, 190, 450, 240, 400, 205, 480</t>
  </si>
  <si>
    <r>
      <rPr>
        <sz val="11"/>
        <color theme="1"/>
        <rFont val="Noto Sans CJK SC"/>
        <family val="2"/>
        <charset val="1"/>
      </rPr>
      <t xml:space="preserve">通信器材備品（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  <charset val="1"/>
      </rPr>
      <t xml:space="preserve">個月）</t>
    </r>
  </si>
  <si>
    <r>
      <rPr>
        <sz val="11"/>
        <color theme="1"/>
        <rFont val="Noto Sans CJK SC"/>
        <family val="2"/>
        <charset val="1"/>
      </rPr>
      <t xml:space="preserve">延伸練習一（</t>
    </r>
    <r>
      <rPr>
        <sz val="11"/>
        <color theme="1"/>
        <rFont val="Calibri"/>
        <family val="2"/>
        <charset val="1"/>
      </rPr>
      <t xml:space="preserve">MA</t>
    </r>
    <r>
      <rPr>
        <sz val="11"/>
        <color theme="1"/>
        <rFont val="Noto Sans CJK SC"/>
        <family val="2"/>
        <charset val="1"/>
      </rPr>
      <t xml:space="preserve">／</t>
    </r>
    <r>
      <rPr>
        <sz val="11"/>
        <color theme="1"/>
        <rFont val="Calibri"/>
        <family val="2"/>
        <charset val="1"/>
      </rPr>
      <t xml:space="preserve">WMA</t>
    </r>
    <r>
      <rPr>
        <sz val="11"/>
        <color theme="1"/>
        <rFont val="Noto Sans CJK SC"/>
        <family val="2"/>
        <charset val="1"/>
      </rPr>
      <t xml:space="preserve">）</t>
    </r>
  </si>
  <si>
    <t xml:space="preserve">60, 64, 58, 70, 66, 72, 68, 75, 71, 78</t>
  </si>
  <si>
    <r>
      <rPr>
        <sz val="11"/>
        <color theme="1"/>
        <rFont val="Noto Sans CJK SC"/>
        <family val="2"/>
        <charset val="1"/>
      </rPr>
      <t xml:space="preserve">彈藥整備半成品（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  <charset val="1"/>
      </rPr>
      <t xml:space="preserve">個月）</t>
    </r>
  </si>
  <si>
    <r>
      <rPr>
        <sz val="11"/>
        <color theme="1"/>
        <rFont val="Noto Sans CJK SC"/>
        <family val="2"/>
        <charset val="1"/>
      </rPr>
      <t xml:space="preserve">延伸練習二（</t>
    </r>
    <r>
      <rPr>
        <sz val="11"/>
        <color theme="1"/>
        <rFont val="Calibri"/>
        <family val="2"/>
        <charset val="1"/>
      </rPr>
      <t xml:space="preserve">SES</t>
    </r>
    <r>
      <rPr>
        <sz val="11"/>
        <color theme="1"/>
        <rFont val="Noto Sans CJK SC"/>
        <family val="2"/>
        <charset val="1"/>
      </rPr>
      <t xml:space="preserve">多組</t>
    </r>
    <r>
      <rPr>
        <sz val="11"/>
        <color theme="1"/>
        <rFont val="Calibri"/>
        <family val="2"/>
        <charset val="1"/>
      </rPr>
      <t xml:space="preserve">α</t>
    </r>
    <r>
      <rPr>
        <sz val="11"/>
        <color theme="1"/>
        <rFont val="Noto Sans CJK SC"/>
        <family val="2"/>
        <charset val="1"/>
      </rPr>
      <t xml:space="preserve">比較）</t>
    </r>
  </si>
  <si>
    <t xml:space="preserve">300, 310, 295, 320, 305, 330, 315, 340, 325, 350</t>
  </si>
  <si>
    <r>
      <rPr>
        <sz val="11"/>
        <color theme="1"/>
        <rFont val="Noto Sans CJK SC"/>
        <family val="2"/>
        <charset val="1"/>
      </rPr>
      <t xml:space="preserve">帳篷維修需求（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  <charset val="1"/>
      </rPr>
      <t xml:space="preserve">個月）</t>
    </r>
  </si>
  <si>
    <r>
      <rPr>
        <sz val="11"/>
        <color theme="1"/>
        <rFont val="Noto Sans CJK SC"/>
        <family val="2"/>
        <charset val="1"/>
      </rPr>
      <t xml:space="preserve">延伸練習三（</t>
    </r>
    <r>
      <rPr>
        <sz val="11"/>
        <color theme="1"/>
        <rFont val="Calibri"/>
        <family val="2"/>
        <charset val="1"/>
      </rPr>
      <t xml:space="preserve">Holt</t>
    </r>
    <r>
      <rPr>
        <sz val="11"/>
        <color theme="1"/>
        <rFont val="Noto Sans CJK SC"/>
        <family val="2"/>
        <charset val="1"/>
      </rPr>
      <t xml:space="preserve">）</t>
    </r>
  </si>
  <si>
    <t xml:space="preserve">80, 86, 90, 97, 101, 108, 112, 119</t>
  </si>
  <si>
    <r>
      <rPr>
        <sz val="11"/>
        <color theme="1"/>
        <rFont val="Noto Sans CJK SC"/>
        <family val="2"/>
        <charset val="1"/>
      </rPr>
      <t xml:space="preserve">野戰醫療耗材（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  <charset val="1"/>
      </rPr>
      <t xml:space="preserve">年</t>
    </r>
    <r>
      <rPr>
        <sz val="11"/>
        <color theme="1"/>
        <rFont val="Calibri"/>
        <family val="2"/>
        <charset val="1"/>
      </rPr>
      <t xml:space="preserve">×4</t>
    </r>
    <r>
      <rPr>
        <sz val="11"/>
        <color theme="1"/>
        <rFont val="Noto Sans CJK SC"/>
        <family val="2"/>
        <charset val="1"/>
      </rPr>
      <t xml:space="preserve">季，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  <charset val="1"/>
      </rPr>
      <t xml:space="preserve">筆）</t>
    </r>
  </si>
  <si>
    <r>
      <rPr>
        <sz val="11"/>
        <color theme="1"/>
        <rFont val="Noto Sans CJK SC"/>
        <family val="2"/>
        <charset val="1"/>
      </rPr>
      <t xml:space="preserve">延伸練習四（</t>
    </r>
    <r>
      <rPr>
        <sz val="11"/>
        <color theme="1"/>
        <rFont val="Calibri"/>
        <family val="2"/>
        <charset val="1"/>
      </rPr>
      <t xml:space="preserve">Winters</t>
    </r>
    <r>
      <rPr>
        <sz val="11"/>
        <color theme="1"/>
        <rFont val="Noto Sans CJK SC"/>
        <family val="2"/>
        <charset val="1"/>
      </rPr>
      <t xml:space="preserve">）</t>
    </r>
  </si>
  <si>
    <t xml:space="preserve">150, 210, 140, 260, 165, 230, 150, 280</t>
  </si>
  <si>
    <r>
      <rPr>
        <b val="true"/>
        <sz val="14"/>
        <rFont val="Noto Sans CJK SC"/>
        <family val="2"/>
        <charset val="1"/>
      </rPr>
      <t xml:space="preserve">示範一：</t>
    </r>
    <r>
      <rPr>
        <b val="true"/>
        <sz val="14"/>
        <rFont val="Arial"/>
        <family val="0"/>
        <charset val="1"/>
      </rPr>
      <t xml:space="preserve">SES </t>
    </r>
    <r>
      <rPr>
        <b val="true"/>
        <sz val="14"/>
        <rFont val="Noto Sans CJK SC"/>
        <family val="2"/>
        <charset val="1"/>
      </rPr>
      <t xml:space="preserve">最佳平滑常數 </t>
    </r>
    <r>
      <rPr>
        <b val="true"/>
        <sz val="14"/>
        <rFont val="Arial"/>
        <family val="0"/>
        <charset val="1"/>
      </rPr>
      <t xml:space="preserve">α</t>
    </r>
    <r>
      <rPr>
        <b val="true"/>
        <sz val="14"/>
        <rFont val="Noto Sans CJK SC"/>
        <family val="2"/>
        <charset val="1"/>
      </rPr>
      <t xml:space="preserve">（油料消耗）</t>
    </r>
  </si>
  <si>
    <r>
      <rPr>
        <b val="true"/>
        <sz val="11"/>
        <color rgb="FF000000"/>
        <rFont val="Noto Sans CJK SC"/>
        <family val="2"/>
        <charset val="1"/>
      </rPr>
      <t xml:space="preserve">平滑常數 </t>
    </r>
    <r>
      <rPr>
        <b val="true"/>
        <sz val="11"/>
        <color rgb="FF000000"/>
        <rFont val="Arial"/>
        <family val="0"/>
        <charset val="1"/>
      </rPr>
      <t xml:space="preserve">α</t>
    </r>
  </si>
  <si>
    <r>
      <rPr>
        <i val="true"/>
        <sz val="9"/>
        <color rgb="FF666666"/>
        <rFont val="Noto Sans CJK SC"/>
        <family val="2"/>
        <charset val="1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C </t>
    </r>
    <r>
      <rPr>
        <i val="true"/>
        <sz val="9"/>
        <color rgb="FF666666"/>
        <rFont val="Noto Sans CJK SC"/>
        <family val="2"/>
        <charset val="1"/>
      </rPr>
      <t xml:space="preserve">欄公式往下複製即可；</t>
    </r>
    <r>
      <rPr>
        <i val="true"/>
        <sz val="9"/>
        <color rgb="FF666666"/>
        <rFont val="Arial"/>
        <family val="0"/>
        <charset val="1"/>
      </rPr>
      <t xml:space="preserve">G2 </t>
    </r>
    <r>
      <rPr>
        <i val="true"/>
        <sz val="9"/>
        <color rgb="FF666666"/>
        <rFont val="Noto Sans CJK SC"/>
        <family val="2"/>
        <charset val="1"/>
      </rPr>
      <t xml:space="preserve">為平滑常數，可用規劃求解調整使 </t>
    </r>
    <r>
      <rPr>
        <i val="true"/>
        <sz val="9"/>
        <color rgb="FF666666"/>
        <rFont val="Arial"/>
        <family val="0"/>
        <charset val="1"/>
      </rPr>
      <t xml:space="preserve">G4</t>
    </r>
    <r>
      <rPr>
        <i val="true"/>
        <sz val="9"/>
        <color rgb="FF666666"/>
        <rFont val="Noto Sans CJK SC"/>
        <family val="2"/>
        <charset val="1"/>
      </rPr>
      <t xml:space="preserve">（誤差平方和）最小。</t>
    </r>
  </si>
  <si>
    <r>
      <rPr>
        <b val="true"/>
        <sz val="11"/>
        <color rgb="FF000000"/>
        <rFont val="Noto Sans CJK SC"/>
        <family val="2"/>
        <charset val="1"/>
      </rPr>
      <t xml:space="preserve">誤差平方和 </t>
    </r>
    <r>
      <rPr>
        <b val="true"/>
        <sz val="11"/>
        <color rgb="FF000000"/>
        <rFont val="Arial"/>
        <family val="0"/>
        <charset val="1"/>
      </rPr>
      <t xml:space="preserve">(SSE)</t>
    </r>
  </si>
  <si>
    <t xml:space="preserve">月份</t>
  </si>
  <si>
    <t xml:space="preserve">實際消耗量</t>
  </si>
  <si>
    <r>
      <rPr>
        <b val="true"/>
        <sz val="11"/>
        <color rgb="FFFFFFFF"/>
        <rFont val="Arial"/>
        <family val="0"/>
        <charset val="1"/>
      </rPr>
      <t xml:space="preserve">SES</t>
    </r>
    <r>
      <rPr>
        <b val="true"/>
        <sz val="11"/>
        <color rgb="FFFFFFFF"/>
        <rFont val="Noto Sans CJK SC"/>
        <family val="2"/>
        <charset val="1"/>
      </rPr>
      <t xml:space="preserve">預測值</t>
    </r>
  </si>
  <si>
    <t xml:space="preserve">誤差</t>
  </si>
  <si>
    <t xml:space="preserve">誤差平方</t>
  </si>
  <si>
    <r>
      <rPr>
        <b val="true"/>
        <sz val="14"/>
        <rFont val="Noto Sans CJK SC"/>
        <family val="2"/>
        <charset val="1"/>
      </rPr>
      <t xml:space="preserve">示範二：</t>
    </r>
    <r>
      <rPr>
        <b val="true"/>
        <sz val="14"/>
        <rFont val="Arial"/>
        <family val="0"/>
        <charset val="1"/>
      </rPr>
      <t xml:space="preserve">Holt </t>
    </r>
    <r>
      <rPr>
        <b val="true"/>
        <sz val="14"/>
        <rFont val="Noto Sans CJK SC"/>
        <family val="2"/>
        <charset val="1"/>
      </rPr>
      <t xml:space="preserve">雙參數法（備用零件需求）</t>
    </r>
  </si>
  <si>
    <t xml:space="preserve">α</t>
  </si>
  <si>
    <r>
      <rPr>
        <i val="true"/>
        <sz val="9"/>
        <color rgb="FF666666"/>
        <rFont val="Noto Sans CJK SC"/>
        <family val="2"/>
        <charset val="1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H2=α</t>
    </r>
    <r>
      <rPr>
        <i val="true"/>
        <sz val="9"/>
        <color rgb="FF666666"/>
        <rFont val="Noto Sans CJK SC"/>
        <family val="2"/>
        <charset val="1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H4=β </t>
    </r>
    <r>
      <rPr>
        <i val="true"/>
        <sz val="9"/>
        <color rgb="FF666666"/>
        <rFont val="Noto Sans CJK SC"/>
        <family val="2"/>
        <charset val="1"/>
      </rPr>
      <t xml:space="preserve">為平滑常數，可用規劃求解調整使 </t>
    </r>
    <r>
      <rPr>
        <i val="true"/>
        <sz val="9"/>
        <color rgb="FF666666"/>
        <rFont val="Arial"/>
        <family val="0"/>
        <charset val="1"/>
      </rPr>
      <t xml:space="preserve">H7</t>
    </r>
    <r>
      <rPr>
        <i val="true"/>
        <sz val="9"/>
        <color rgb="FF666666"/>
        <rFont val="Noto Sans CJK SC"/>
        <family val="2"/>
        <charset val="1"/>
      </rPr>
      <t xml:space="preserve">（誤差平方和）最小。</t>
    </r>
  </si>
  <si>
    <t xml:space="preserve">β</t>
  </si>
  <si>
    <t xml:space="preserve">實際需求</t>
  </si>
  <si>
    <r>
      <rPr>
        <b val="true"/>
        <sz val="11"/>
        <color rgb="FFFFFFFF"/>
        <rFont val="Noto Sans CJK SC"/>
        <family val="2"/>
        <charset val="1"/>
      </rPr>
      <t xml:space="preserve">水準 </t>
    </r>
    <r>
      <rPr>
        <b val="true"/>
        <sz val="11"/>
        <color rgb="FFFFFFFF"/>
        <rFont val="Arial"/>
        <family val="0"/>
        <charset val="1"/>
      </rPr>
      <t xml:space="preserve">Lt</t>
    </r>
  </si>
  <si>
    <r>
      <rPr>
        <b val="true"/>
        <sz val="11"/>
        <color rgb="FFFFFFFF"/>
        <rFont val="Noto Sans CJK SC"/>
        <family val="2"/>
        <charset val="1"/>
      </rPr>
      <t xml:space="preserve">趨勢 </t>
    </r>
    <r>
      <rPr>
        <b val="true"/>
        <sz val="11"/>
        <color rgb="FFFFFFFF"/>
        <rFont val="Arial"/>
        <family val="0"/>
        <charset val="1"/>
      </rPr>
      <t xml:space="preserve">Tt</t>
    </r>
  </si>
  <si>
    <r>
      <rPr>
        <b val="true"/>
        <sz val="11"/>
        <color rgb="FFFFFFFF"/>
        <rFont val="Noto Sans CJK SC"/>
        <family val="2"/>
        <charset val="1"/>
      </rPr>
      <t xml:space="preserve">預測值 </t>
    </r>
    <r>
      <rPr>
        <b val="true"/>
        <sz val="11"/>
        <color rgb="FFFFFFFF"/>
        <rFont val="Arial"/>
        <family val="0"/>
        <charset val="1"/>
      </rPr>
      <t xml:space="preserve">Ft</t>
    </r>
  </si>
  <si>
    <r>
      <rPr>
        <b val="true"/>
        <sz val="14"/>
        <rFont val="Noto Sans CJK SC"/>
        <family val="2"/>
        <charset val="1"/>
      </rPr>
      <t xml:space="preserve">示範三：</t>
    </r>
    <r>
      <rPr>
        <b val="true"/>
        <sz val="14"/>
        <rFont val="Arial"/>
        <family val="0"/>
        <charset val="1"/>
      </rPr>
      <t xml:space="preserve">Winters </t>
    </r>
    <r>
      <rPr>
        <b val="true"/>
        <sz val="14"/>
        <rFont val="Noto Sans CJK SC"/>
        <family val="2"/>
        <charset val="1"/>
      </rPr>
      <t xml:space="preserve">三參數法（彈藥消耗，季節週期</t>
    </r>
    <r>
      <rPr>
        <b val="true"/>
        <sz val="14"/>
        <rFont val="Arial"/>
        <family val="0"/>
        <charset val="1"/>
      </rPr>
      <t xml:space="preserve">=4</t>
    </r>
    <r>
      <rPr>
        <b val="true"/>
        <sz val="14"/>
        <rFont val="Noto Sans CJK SC"/>
        <family val="2"/>
        <charset val="1"/>
      </rPr>
      <t xml:space="preserve">）</t>
    </r>
  </si>
  <si>
    <r>
      <rPr>
        <b val="true"/>
        <sz val="11"/>
        <color rgb="FF000000"/>
        <rFont val="Noto Sans CJK SC"/>
        <family val="2"/>
        <charset val="1"/>
      </rPr>
      <t xml:space="preserve">初始季節指數（</t>
    </r>
    <r>
      <rPr>
        <b val="true"/>
        <sz val="11"/>
        <color rgb="FF000000"/>
        <rFont val="Arial"/>
        <family val="0"/>
        <charset val="1"/>
      </rPr>
      <t xml:space="preserve">Q1-Q4</t>
    </r>
    <r>
      <rPr>
        <b val="true"/>
        <sz val="11"/>
        <color rgb="FF000000"/>
        <rFont val="Noto Sans CJK SC"/>
        <family val="2"/>
        <charset val="1"/>
      </rPr>
      <t xml:space="preserve">，手動計算後輸入於 </t>
    </r>
    <r>
      <rPr>
        <b val="true"/>
        <sz val="11"/>
        <color rgb="FF000000"/>
        <rFont val="Arial"/>
        <family val="0"/>
        <charset val="1"/>
      </rPr>
      <t xml:space="preserve">L1:L4</t>
    </r>
    <r>
      <rPr>
        <b val="true"/>
        <sz val="11"/>
        <color rgb="FF000000"/>
        <rFont val="Noto Sans CJK SC"/>
        <family val="2"/>
        <charset val="1"/>
      </rPr>
      <t xml:space="preserve">）</t>
    </r>
  </si>
  <si>
    <r>
      <rPr>
        <i val="true"/>
        <sz val="9"/>
        <color rgb="FF666666"/>
        <rFont val="Noto Sans CJK SC"/>
        <family val="2"/>
        <charset val="1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J2=α</t>
    </r>
    <r>
      <rPr>
        <i val="true"/>
        <sz val="9"/>
        <color rgb="FF666666"/>
        <rFont val="Noto Sans CJK SC"/>
        <family val="2"/>
        <charset val="1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J4=β</t>
    </r>
    <r>
      <rPr>
        <i val="true"/>
        <sz val="9"/>
        <color rgb="FF666666"/>
        <rFont val="Noto Sans CJK SC"/>
        <family val="2"/>
        <charset val="1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J6=γ</t>
    </r>
    <r>
      <rPr>
        <i val="true"/>
        <sz val="9"/>
        <color rgb="FF666666"/>
        <rFont val="Noto Sans CJK SC"/>
        <family val="2"/>
        <charset val="1"/>
      </rPr>
      <t xml:space="preserve">；</t>
    </r>
    <r>
      <rPr>
        <i val="true"/>
        <sz val="9"/>
        <color rgb="FF666666"/>
        <rFont val="Arial"/>
        <family val="0"/>
        <charset val="1"/>
      </rPr>
      <t xml:space="preserve">J10/J11 </t>
    </r>
    <r>
      <rPr>
        <i val="true"/>
        <sz val="9"/>
        <color rgb="FF666666"/>
        <rFont val="Noto Sans CJK SC"/>
        <family val="2"/>
        <charset val="1"/>
      </rPr>
      <t xml:space="preserve">為初始水準與趨勢，</t>
    </r>
    <r>
      <rPr>
        <i val="true"/>
        <sz val="9"/>
        <color rgb="FF666666"/>
        <rFont val="Arial"/>
        <family val="0"/>
        <charset val="1"/>
      </rPr>
      <t xml:space="preserve">L1:L4 </t>
    </r>
    <r>
      <rPr>
        <i val="true"/>
        <sz val="9"/>
        <color rgb="FF666666"/>
        <rFont val="Noto Sans CJK SC"/>
        <family val="2"/>
        <charset val="1"/>
      </rPr>
      <t xml:space="preserve">為初始季節指數，皆需手動計算後輸入（不可用公式，避免循環參照）。</t>
    </r>
  </si>
  <si>
    <t xml:space="preserve">期別</t>
  </si>
  <si>
    <t xml:space="preserve">實際值</t>
  </si>
  <si>
    <r>
      <rPr>
        <b val="true"/>
        <sz val="11"/>
        <color rgb="FFFFFFFF"/>
        <rFont val="Noto Sans CJK SC"/>
        <family val="2"/>
        <charset val="1"/>
      </rPr>
      <t xml:space="preserve">季節指數 </t>
    </r>
    <r>
      <rPr>
        <b val="true"/>
        <sz val="11"/>
        <color rgb="FFFFFFFF"/>
        <rFont val="Arial"/>
        <family val="0"/>
        <charset val="1"/>
      </rPr>
      <t xml:space="preserve">St</t>
    </r>
  </si>
  <si>
    <t xml:space="preserve">γ</t>
  </si>
  <si>
    <r>
      <rPr>
        <b val="true"/>
        <sz val="11"/>
        <color rgb="FF000000"/>
        <rFont val="Noto Sans CJK SC"/>
        <family val="2"/>
        <charset val="1"/>
      </rPr>
      <t xml:space="preserve">初始水準</t>
    </r>
    <r>
      <rPr>
        <b val="true"/>
        <sz val="11"/>
        <color rgb="FF000000"/>
        <rFont val="Arial"/>
        <family val="0"/>
        <charset val="1"/>
      </rPr>
      <t xml:space="preserve">L0(J10) / </t>
    </r>
    <r>
      <rPr>
        <b val="true"/>
        <sz val="11"/>
        <color rgb="FF000000"/>
        <rFont val="Noto Sans CJK SC"/>
        <family val="2"/>
        <charset val="1"/>
      </rPr>
      <t xml:space="preserve">初始趨勢</t>
    </r>
    <r>
      <rPr>
        <b val="true"/>
        <sz val="11"/>
        <color rgb="FF000000"/>
        <rFont val="Arial"/>
        <family val="0"/>
        <charset val="1"/>
      </rPr>
      <t xml:space="preserve">T0(J11)</t>
    </r>
  </si>
  <si>
    <r>
      <rPr>
        <b val="true"/>
        <sz val="14"/>
        <rFont val="Noto Sans CJK SC"/>
        <family val="2"/>
        <charset val="1"/>
      </rPr>
      <t xml:space="preserve">示範四：追蹤訊號預警表（延伸自油料消耗 </t>
    </r>
    <r>
      <rPr>
        <b val="true"/>
        <sz val="14"/>
        <rFont val="Arial"/>
        <family val="0"/>
        <charset val="1"/>
      </rPr>
      <t xml:space="preserve">SES </t>
    </r>
    <r>
      <rPr>
        <b val="true"/>
        <sz val="14"/>
        <rFont val="Noto Sans CJK SC"/>
        <family val="2"/>
        <charset val="1"/>
      </rPr>
      <t xml:space="preserve">示範）</t>
    </r>
  </si>
  <si>
    <r>
      <rPr>
        <i val="true"/>
        <sz val="9"/>
        <color rgb="FF666666"/>
        <rFont val="Noto Sans CJK SC"/>
        <family val="2"/>
        <charset val="1"/>
      </rPr>
      <t xml:space="preserve">說明：本表重建了示範一的 </t>
    </r>
    <r>
      <rPr>
        <i val="true"/>
        <sz val="9"/>
        <color rgb="FF666666"/>
        <rFont val="Arial"/>
        <family val="0"/>
        <charset val="1"/>
      </rPr>
      <t xml:space="preserve">SES </t>
    </r>
    <r>
      <rPr>
        <i val="true"/>
        <sz val="9"/>
        <color rgb="FF666666"/>
        <rFont val="Noto Sans CJK SC"/>
        <family val="2"/>
        <charset val="1"/>
      </rPr>
      <t xml:space="preserve">基礎欄位，並新增 </t>
    </r>
    <r>
      <rPr>
        <i val="true"/>
        <sz val="9"/>
        <color rgb="FF666666"/>
        <rFont val="Arial"/>
        <family val="0"/>
        <charset val="1"/>
      </rPr>
      <t xml:space="preserve">H:K </t>
    </r>
    <r>
      <rPr>
        <i val="true"/>
        <sz val="9"/>
        <color rgb="FF666666"/>
        <rFont val="Noto Sans CJK SC"/>
        <family val="2"/>
        <charset val="1"/>
      </rPr>
      <t xml:space="preserve">欄計算追蹤訊號；</t>
    </r>
    <r>
      <rPr>
        <i val="true"/>
        <sz val="9"/>
        <color rgb="FF666666"/>
        <rFont val="Arial"/>
        <family val="0"/>
        <charset val="1"/>
      </rPr>
      <t xml:space="preserve">J </t>
    </r>
    <r>
      <rPr>
        <i val="true"/>
        <sz val="9"/>
        <color rgb="FF666666"/>
        <rFont val="Noto Sans CJK SC"/>
        <family val="2"/>
        <charset val="1"/>
      </rPr>
      <t xml:space="preserve">欄若絕對值超過 </t>
    </r>
    <r>
      <rPr>
        <i val="true"/>
        <sz val="9"/>
        <color rgb="FF666666"/>
        <rFont val="Arial"/>
        <family val="0"/>
        <charset val="1"/>
      </rPr>
      <t xml:space="preserve">4 </t>
    </r>
    <r>
      <rPr>
        <i val="true"/>
        <sz val="9"/>
        <color rgb="FF666666"/>
        <rFont val="Noto Sans CJK SC"/>
        <family val="2"/>
        <charset val="1"/>
      </rPr>
      <t xml:space="preserve">會自動標示紅色。</t>
    </r>
  </si>
  <si>
    <t xml:space="preserve">絕對誤差</t>
  </si>
  <si>
    <r>
      <rPr>
        <b val="true"/>
        <sz val="11"/>
        <color rgb="FFFFFFFF"/>
        <rFont val="Noto Sans CJK SC"/>
        <family val="2"/>
        <charset val="1"/>
      </rPr>
      <t xml:space="preserve">累積誤差</t>
    </r>
    <r>
      <rPr>
        <b val="true"/>
        <sz val="11"/>
        <color rgb="FFFFFFFF"/>
        <rFont val="Arial"/>
        <family val="0"/>
        <charset val="1"/>
      </rPr>
      <t xml:space="preserve">RSFE</t>
    </r>
  </si>
  <si>
    <r>
      <rPr>
        <b val="true"/>
        <sz val="11"/>
        <color rgb="FFFFFFFF"/>
        <rFont val="Noto Sans CJK SC"/>
        <family val="2"/>
        <charset val="1"/>
      </rPr>
      <t xml:space="preserve">累積</t>
    </r>
    <r>
      <rPr>
        <b val="true"/>
        <sz val="11"/>
        <color rgb="FFFFFFFF"/>
        <rFont val="Arial"/>
        <family val="0"/>
        <charset val="1"/>
      </rPr>
      <t xml:space="preserve">MAD</t>
    </r>
  </si>
  <si>
    <r>
      <rPr>
        <b val="true"/>
        <sz val="11"/>
        <color rgb="FFFFFFFF"/>
        <rFont val="Noto Sans CJK SC"/>
        <family val="2"/>
        <charset val="1"/>
      </rPr>
      <t xml:space="preserve">追蹤訊號</t>
    </r>
    <r>
      <rPr>
        <b val="true"/>
        <sz val="11"/>
        <color rgb="FFFFFFFF"/>
        <rFont val="Arial"/>
        <family val="0"/>
        <charset val="1"/>
      </rPr>
      <t xml:space="preserve">TS</t>
    </r>
  </si>
  <si>
    <r>
      <rPr>
        <b val="true"/>
        <sz val="14"/>
        <rFont val="Noto Sans CJK SC"/>
        <family val="2"/>
        <charset val="1"/>
      </rPr>
      <t xml:space="preserve">延伸練習一：</t>
    </r>
    <r>
      <rPr>
        <b val="true"/>
        <sz val="14"/>
        <rFont val="Arial"/>
        <family val="0"/>
        <charset val="1"/>
      </rPr>
      <t xml:space="preserve">MA3</t>
    </r>
    <r>
      <rPr>
        <b val="true"/>
        <sz val="14"/>
        <rFont val="Noto Sans CJK SC"/>
        <family val="2"/>
        <charset val="1"/>
      </rPr>
      <t xml:space="preserve">／</t>
    </r>
    <r>
      <rPr>
        <b val="true"/>
        <sz val="14"/>
        <rFont val="Arial"/>
        <family val="0"/>
        <charset val="1"/>
      </rPr>
      <t xml:space="preserve">WMA </t>
    </r>
    <r>
      <rPr>
        <b val="true"/>
        <sz val="14"/>
        <rFont val="Noto Sans CJK SC"/>
        <family val="2"/>
        <charset val="1"/>
      </rPr>
      <t xml:space="preserve">練習（通信器材備品需求）</t>
    </r>
  </si>
  <si>
    <r>
      <rPr>
        <i val="true"/>
        <sz val="9"/>
        <color rgb="FF666666"/>
        <rFont val="Noto Sans CJK SC"/>
        <family val="2"/>
        <charset val="1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C </t>
    </r>
    <r>
      <rPr>
        <i val="true"/>
        <sz val="9"/>
        <color rgb="FF666666"/>
        <rFont val="Noto Sans CJK SC"/>
        <family val="2"/>
        <charset val="1"/>
      </rPr>
      <t xml:space="preserve">欄為 </t>
    </r>
    <r>
      <rPr>
        <i val="true"/>
        <sz val="9"/>
        <color rgb="FF666666"/>
        <rFont val="Arial"/>
        <family val="0"/>
        <charset val="1"/>
      </rPr>
      <t xml:space="preserve">MA3</t>
    </r>
    <r>
      <rPr>
        <i val="true"/>
        <sz val="9"/>
        <color rgb="FF666666"/>
        <rFont val="Noto Sans CJK SC"/>
        <family val="2"/>
        <charset val="1"/>
      </rPr>
      <t xml:space="preserve">（近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  <charset val="1"/>
      </rPr>
      <t xml:space="preserve">期平均），</t>
    </r>
    <r>
      <rPr>
        <i val="true"/>
        <sz val="9"/>
        <color rgb="FF666666"/>
        <rFont val="Arial"/>
        <family val="0"/>
        <charset val="1"/>
      </rPr>
      <t xml:space="preserve">D </t>
    </r>
    <r>
      <rPr>
        <i val="true"/>
        <sz val="9"/>
        <color rgb="FF666666"/>
        <rFont val="Noto Sans CJK SC"/>
        <family val="2"/>
        <charset val="1"/>
      </rPr>
      <t xml:space="preserve">欄為 </t>
    </r>
    <r>
      <rPr>
        <i val="true"/>
        <sz val="9"/>
        <color rgb="FF666666"/>
        <rFont val="Arial"/>
        <family val="0"/>
        <charset val="1"/>
      </rPr>
      <t xml:space="preserve">WMA</t>
    </r>
    <r>
      <rPr>
        <i val="true"/>
        <sz val="9"/>
        <color rgb="FF666666"/>
        <rFont val="Noto Sans CJK SC"/>
        <family val="2"/>
        <charset val="1"/>
      </rPr>
      <t xml:space="preserve">（權重</t>
    </r>
    <r>
      <rPr>
        <i val="true"/>
        <sz val="9"/>
        <color rgb="FF666666"/>
        <rFont val="Arial"/>
        <family val="0"/>
        <charset val="1"/>
      </rPr>
      <t xml:space="preserve">0.5/0.3/0.2</t>
    </r>
    <r>
      <rPr>
        <i val="true"/>
        <sz val="9"/>
        <color rgb="FF666666"/>
        <rFont val="Noto Sans CJK SC"/>
        <family val="2"/>
        <charset val="1"/>
      </rPr>
      <t xml:space="preserve">，最近期權重最大）。</t>
    </r>
  </si>
  <si>
    <t xml:space="preserve">實際需求量</t>
  </si>
  <si>
    <r>
      <rPr>
        <b val="true"/>
        <sz val="11"/>
        <color rgb="FFFFFFFF"/>
        <rFont val="Arial"/>
        <family val="0"/>
        <charset val="1"/>
      </rPr>
      <t xml:space="preserve">MA3</t>
    </r>
    <r>
      <rPr>
        <b val="true"/>
        <sz val="11"/>
        <color rgb="FFFFFFFF"/>
        <rFont val="Noto Sans CJK SC"/>
        <family val="2"/>
        <charset val="1"/>
      </rPr>
      <t xml:space="preserve">預測值</t>
    </r>
  </si>
  <si>
    <r>
      <rPr>
        <b val="true"/>
        <sz val="11"/>
        <color rgb="FFFFFFFF"/>
        <rFont val="Arial"/>
        <family val="0"/>
        <charset val="1"/>
      </rPr>
      <t xml:space="preserve">WMA</t>
    </r>
    <r>
      <rPr>
        <b val="true"/>
        <sz val="11"/>
        <color rgb="FFFFFFFF"/>
        <rFont val="Noto Sans CJK SC"/>
        <family val="2"/>
        <charset val="1"/>
      </rPr>
      <t xml:space="preserve">預測值</t>
    </r>
  </si>
  <si>
    <r>
      <rPr>
        <b val="true"/>
        <sz val="14"/>
        <rFont val="Noto Sans CJK SC"/>
        <family val="2"/>
        <charset val="1"/>
      </rPr>
      <t xml:space="preserve">延伸練習二：</t>
    </r>
    <r>
      <rPr>
        <b val="true"/>
        <sz val="14"/>
        <rFont val="Arial"/>
        <family val="0"/>
        <charset val="1"/>
      </rPr>
      <t xml:space="preserve">SES </t>
    </r>
    <r>
      <rPr>
        <b val="true"/>
        <sz val="14"/>
        <rFont val="Noto Sans CJK SC"/>
        <family val="2"/>
        <charset val="1"/>
      </rPr>
      <t xml:space="preserve">不同 </t>
    </r>
    <r>
      <rPr>
        <b val="true"/>
        <sz val="14"/>
        <rFont val="Arial"/>
        <family val="0"/>
        <charset val="1"/>
      </rPr>
      <t xml:space="preserve">α </t>
    </r>
    <r>
      <rPr>
        <b val="true"/>
        <sz val="14"/>
        <rFont val="Noto Sans CJK SC"/>
        <family val="2"/>
        <charset val="1"/>
      </rPr>
      <t xml:space="preserve">比較（彈藥整備半成品需求）</t>
    </r>
  </si>
  <si>
    <r>
      <rPr>
        <b val="true"/>
        <sz val="11"/>
        <color rgb="FF000000"/>
        <rFont val="Arial"/>
        <family val="0"/>
        <charset val="1"/>
      </rPr>
      <t xml:space="preserve">α </t>
    </r>
    <r>
      <rPr>
        <b val="true"/>
        <sz val="11"/>
        <color rgb="FF000000"/>
        <rFont val="Noto Sans CJK SC"/>
        <family val="2"/>
        <charset val="1"/>
      </rPr>
      <t xml:space="preserve">值</t>
    </r>
  </si>
  <si>
    <r>
      <rPr>
        <i val="true"/>
        <sz val="9"/>
        <color rgb="FF666666"/>
        <rFont val="Noto Sans CJK SC"/>
        <family val="2"/>
        <charset val="1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C/D/E </t>
    </r>
    <r>
      <rPr>
        <i val="true"/>
        <sz val="9"/>
        <color rgb="FF666666"/>
        <rFont val="Noto Sans CJK SC"/>
        <family val="2"/>
        <charset val="1"/>
      </rPr>
      <t xml:space="preserve">三欄分別以 </t>
    </r>
    <r>
      <rPr>
        <i val="true"/>
        <sz val="9"/>
        <color rgb="FF666666"/>
        <rFont val="Arial"/>
        <family val="0"/>
        <charset val="1"/>
      </rPr>
      <t xml:space="preserve">α=0.1</t>
    </r>
    <r>
      <rPr>
        <i val="true"/>
        <sz val="9"/>
        <color rgb="FF666666"/>
        <rFont val="Noto Sans CJK SC"/>
        <family val="2"/>
        <charset val="1"/>
      </rPr>
      <t xml:space="preserve">／</t>
    </r>
    <r>
      <rPr>
        <i val="true"/>
        <sz val="9"/>
        <color rgb="FF666666"/>
        <rFont val="Arial"/>
        <family val="0"/>
        <charset val="1"/>
      </rPr>
      <t xml:space="preserve">0.3</t>
    </r>
    <r>
      <rPr>
        <i val="true"/>
        <sz val="9"/>
        <color rgb="FF666666"/>
        <rFont val="Noto Sans CJK SC"/>
        <family val="2"/>
        <charset val="1"/>
      </rPr>
      <t xml:space="preserve">／</t>
    </r>
    <r>
      <rPr>
        <i val="true"/>
        <sz val="9"/>
        <color rgb="FF666666"/>
        <rFont val="Arial"/>
        <family val="0"/>
        <charset val="1"/>
      </rPr>
      <t xml:space="preserve">0.5</t>
    </r>
    <r>
      <rPr>
        <i val="true"/>
        <sz val="9"/>
        <color rgb="FF666666"/>
        <rFont val="Noto Sans CJK SC"/>
        <family val="2"/>
        <charset val="1"/>
      </rPr>
      <t xml:space="preserve">（見 </t>
    </r>
    <r>
      <rPr>
        <i val="true"/>
        <sz val="9"/>
        <color rgb="FF666666"/>
        <rFont val="Arial"/>
        <family val="0"/>
        <charset val="1"/>
      </rPr>
      <t xml:space="preserve">G2:G4</t>
    </r>
    <r>
      <rPr>
        <i val="true"/>
        <sz val="9"/>
        <color rgb="FF666666"/>
        <rFont val="Noto Sans CJK SC"/>
        <family val="2"/>
        <charset val="1"/>
      </rPr>
      <t xml:space="preserve">）計算 </t>
    </r>
    <r>
      <rPr>
        <i val="true"/>
        <sz val="9"/>
        <color rgb="FF666666"/>
        <rFont val="Arial"/>
        <family val="0"/>
        <charset val="1"/>
      </rPr>
      <t xml:space="preserve">SES </t>
    </r>
    <r>
      <rPr>
        <i val="true"/>
        <sz val="9"/>
        <color rgb="FF666666"/>
        <rFont val="Noto Sans CJK SC"/>
        <family val="2"/>
        <charset val="1"/>
      </rPr>
      <t xml:space="preserve">預測值，供比較誤差指標。</t>
    </r>
  </si>
  <si>
    <t xml:space="preserve">SES(α=G2)</t>
  </si>
  <si>
    <t xml:space="preserve">SES(α=G3)</t>
  </si>
  <si>
    <t xml:space="preserve">SES(α=G4)</t>
  </si>
  <si>
    <t xml:space="preserve">指標</t>
  </si>
  <si>
    <r>
      <rPr>
        <b val="true"/>
        <sz val="11"/>
        <color rgb="FFFFFFFF"/>
        <rFont val="Arial"/>
        <family val="0"/>
        <charset val="1"/>
      </rPr>
      <t xml:space="preserve">C</t>
    </r>
    <r>
      <rPr>
        <b val="true"/>
        <sz val="11"/>
        <color rgb="FFFFFFFF"/>
        <rFont val="Noto Sans CJK SC"/>
        <family val="2"/>
        <charset val="1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(α=0.1)</t>
    </r>
  </si>
  <si>
    <r>
      <rPr>
        <b val="true"/>
        <sz val="11"/>
        <color rgb="FFFFFFFF"/>
        <rFont val="Arial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  <charset val="1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(α=0.3)</t>
    </r>
  </si>
  <si>
    <r>
      <rPr>
        <b val="true"/>
        <sz val="11"/>
        <color rgb="FFFFFFFF"/>
        <rFont val="Arial"/>
        <family val="0"/>
        <charset val="1"/>
      </rPr>
      <t xml:space="preserve">E</t>
    </r>
    <r>
      <rPr>
        <b val="true"/>
        <sz val="11"/>
        <color rgb="FFFFFFFF"/>
        <rFont val="Noto Sans CJK SC"/>
        <family val="2"/>
        <charset val="1"/>
      </rPr>
      <t xml:space="preserve">欄</t>
    </r>
    <r>
      <rPr>
        <b val="true"/>
        <sz val="11"/>
        <color rgb="FFFFFFFF"/>
        <rFont val="Arial"/>
        <family val="0"/>
        <charset val="1"/>
      </rPr>
      <t xml:space="preserve">(α=0.5)</t>
    </r>
  </si>
  <si>
    <t xml:space="preserve">MAD</t>
  </si>
  <si>
    <t xml:space="preserve">MSE</t>
  </si>
  <si>
    <t xml:space="preserve">RMSE</t>
  </si>
  <si>
    <t xml:space="preserve">MAPE(%)</t>
  </si>
  <si>
    <r>
      <rPr>
        <b val="true"/>
        <sz val="14"/>
        <rFont val="Noto Sans CJK SC"/>
        <family val="2"/>
        <charset val="1"/>
      </rPr>
      <t xml:space="preserve">延伸練習三：</t>
    </r>
    <r>
      <rPr>
        <b val="true"/>
        <sz val="14"/>
        <rFont val="Arial"/>
        <family val="0"/>
        <charset val="1"/>
      </rPr>
      <t xml:space="preserve">Holt </t>
    </r>
    <r>
      <rPr>
        <b val="true"/>
        <sz val="14"/>
        <rFont val="Noto Sans CJK SC"/>
        <family val="2"/>
        <charset val="1"/>
      </rPr>
      <t xml:space="preserve">雙參數法（帳篷維修需求）</t>
    </r>
  </si>
  <si>
    <r>
      <rPr>
        <i val="true"/>
        <sz val="9"/>
        <color rgb="FF666666"/>
        <rFont val="Noto Sans CJK SC"/>
        <family val="2"/>
        <charset val="1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H2=α</t>
    </r>
    <r>
      <rPr>
        <i val="true"/>
        <sz val="9"/>
        <color rgb="FF666666"/>
        <rFont val="Noto Sans CJK SC"/>
        <family val="2"/>
        <charset val="1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H4=β</t>
    </r>
    <r>
      <rPr>
        <i val="true"/>
        <sz val="9"/>
        <color rgb="FF666666"/>
        <rFont val="Noto Sans CJK SC"/>
        <family val="2"/>
        <charset val="1"/>
      </rPr>
      <t xml:space="preserve">，可自行用規劃求解調整使 </t>
    </r>
    <r>
      <rPr>
        <i val="true"/>
        <sz val="9"/>
        <color rgb="FF666666"/>
        <rFont val="Arial"/>
        <family val="0"/>
        <charset val="1"/>
      </rPr>
      <t xml:space="preserve">H6</t>
    </r>
    <r>
      <rPr>
        <i val="true"/>
        <sz val="9"/>
        <color rgb="FF666666"/>
        <rFont val="Noto Sans CJK SC"/>
        <family val="2"/>
        <charset val="1"/>
      </rPr>
      <t xml:space="preserve">（誤差平方和）最小。</t>
    </r>
  </si>
  <si>
    <t xml:space="preserve">實際維修需求量</t>
  </si>
  <si>
    <r>
      <rPr>
        <b val="true"/>
        <sz val="11"/>
        <color rgb="FF000000"/>
        <rFont val="Noto Sans CJK SC"/>
        <family val="2"/>
        <charset val="1"/>
      </rPr>
      <t xml:space="preserve">誤差平方和</t>
    </r>
    <r>
      <rPr>
        <b val="true"/>
        <sz val="11"/>
        <color rgb="FF000000"/>
        <rFont val="Arial"/>
        <family val="0"/>
        <charset val="1"/>
      </rPr>
      <t xml:space="preserve">(SSE)</t>
    </r>
  </si>
  <si>
    <r>
      <rPr>
        <b val="true"/>
        <sz val="14"/>
        <rFont val="Noto Sans CJK SC"/>
        <family val="2"/>
        <charset val="1"/>
      </rPr>
      <t xml:space="preserve">延伸練習四：</t>
    </r>
    <r>
      <rPr>
        <b val="true"/>
        <sz val="14"/>
        <rFont val="Arial"/>
        <family val="0"/>
        <charset val="1"/>
      </rPr>
      <t xml:space="preserve">Winters </t>
    </r>
    <r>
      <rPr>
        <b val="true"/>
        <sz val="14"/>
        <rFont val="Noto Sans CJK SC"/>
        <family val="2"/>
        <charset val="1"/>
      </rPr>
      <t xml:space="preserve">三參數法（野戰醫療耗材，季節週期</t>
    </r>
    <r>
      <rPr>
        <b val="true"/>
        <sz val="14"/>
        <rFont val="Arial"/>
        <family val="0"/>
        <charset val="1"/>
      </rPr>
      <t xml:space="preserve">=4</t>
    </r>
    <r>
      <rPr>
        <b val="true"/>
        <sz val="14"/>
        <rFont val="Noto Sans CJK SC"/>
        <family val="2"/>
        <charset val="1"/>
      </rPr>
      <t xml:space="preserve">）</t>
    </r>
  </si>
  <si>
    <r>
      <rPr>
        <b val="true"/>
        <sz val="11"/>
        <color rgb="FF000000"/>
        <rFont val="Noto Sans CJK SC"/>
        <family val="2"/>
        <charset val="1"/>
      </rPr>
      <t xml:space="preserve">初始季節指數（</t>
    </r>
    <r>
      <rPr>
        <b val="true"/>
        <sz val="11"/>
        <color rgb="FF000000"/>
        <rFont val="Arial"/>
        <family val="0"/>
        <charset val="1"/>
      </rPr>
      <t xml:space="preserve">Q1-Q4</t>
    </r>
    <r>
      <rPr>
        <b val="true"/>
        <sz val="11"/>
        <color rgb="FF000000"/>
        <rFont val="Noto Sans CJK SC"/>
        <family val="2"/>
        <charset val="1"/>
      </rPr>
      <t xml:space="preserve">，輸入於 </t>
    </r>
    <r>
      <rPr>
        <b val="true"/>
        <sz val="11"/>
        <color rgb="FF000000"/>
        <rFont val="Arial"/>
        <family val="0"/>
        <charset val="1"/>
      </rPr>
      <t xml:space="preserve">L1:L4</t>
    </r>
    <r>
      <rPr>
        <b val="true"/>
        <sz val="11"/>
        <color rgb="FF000000"/>
        <rFont val="Noto Sans CJK SC"/>
        <family val="2"/>
        <charset val="1"/>
      </rPr>
      <t xml:space="preserve">）</t>
    </r>
  </si>
  <si>
    <r>
      <rPr>
        <i val="true"/>
        <sz val="9"/>
        <color rgb="FF666666"/>
        <rFont val="Noto Sans CJK SC"/>
        <family val="2"/>
        <charset val="1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J2=α</t>
    </r>
    <r>
      <rPr>
        <i val="true"/>
        <sz val="9"/>
        <color rgb="FF666666"/>
        <rFont val="Noto Sans CJK SC"/>
        <family val="2"/>
        <charset val="1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J4=β</t>
    </r>
    <r>
      <rPr>
        <i val="true"/>
        <sz val="9"/>
        <color rgb="FF666666"/>
        <rFont val="Noto Sans CJK SC"/>
        <family val="2"/>
        <charset val="1"/>
      </rPr>
      <t xml:space="preserve">、</t>
    </r>
    <r>
      <rPr>
        <i val="true"/>
        <sz val="9"/>
        <color rgb="FF666666"/>
        <rFont val="Arial"/>
        <family val="0"/>
        <charset val="1"/>
      </rPr>
      <t xml:space="preserve">J6=γ</t>
    </r>
    <r>
      <rPr>
        <i val="true"/>
        <sz val="9"/>
        <color rgb="FF666666"/>
        <rFont val="Noto Sans CJK SC"/>
        <family val="2"/>
        <charset val="1"/>
      </rPr>
      <t xml:space="preserve">；</t>
    </r>
    <r>
      <rPr>
        <i val="true"/>
        <sz val="9"/>
        <color rgb="FF666666"/>
        <rFont val="Arial"/>
        <family val="0"/>
        <charset val="1"/>
      </rPr>
      <t xml:space="preserve">J10/J11</t>
    </r>
    <r>
      <rPr>
        <i val="true"/>
        <sz val="9"/>
        <color rgb="FF666666"/>
        <rFont val="Noto Sans CJK SC"/>
        <family val="2"/>
        <charset val="1"/>
      </rPr>
      <t xml:space="preserve">為初始水準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  <charset val="1"/>
      </rPr>
      <t xml:space="preserve">趨勢，</t>
    </r>
    <r>
      <rPr>
        <i val="true"/>
        <sz val="9"/>
        <color rgb="FF666666"/>
        <rFont val="Arial"/>
        <family val="0"/>
        <charset val="1"/>
      </rPr>
      <t xml:space="preserve">L1:L4</t>
    </r>
    <r>
      <rPr>
        <i val="true"/>
        <sz val="9"/>
        <color rgb="FF666666"/>
        <rFont val="Noto Sans CJK SC"/>
        <family val="2"/>
        <charset val="1"/>
      </rPr>
      <t xml:space="preserve">為初始季節指數，皆為手動計算後輸入。</t>
    </r>
  </si>
  <si>
    <r>
      <rPr>
        <b val="true"/>
        <sz val="11"/>
        <color rgb="FF000000"/>
        <rFont val="Noto Sans CJK SC"/>
        <family val="2"/>
        <charset val="1"/>
      </rPr>
      <t xml:space="preserve">初始水準</t>
    </r>
    <r>
      <rPr>
        <b val="true"/>
        <sz val="11"/>
        <color rgb="FF000000"/>
        <rFont val="Arial"/>
        <family val="0"/>
        <charset val="1"/>
      </rPr>
      <t xml:space="preserve">L0(J10)/</t>
    </r>
    <r>
      <rPr>
        <b val="true"/>
        <sz val="11"/>
        <color rgb="FF000000"/>
        <rFont val="Noto Sans CJK SC"/>
        <family val="2"/>
        <charset val="1"/>
      </rPr>
      <t xml:space="preserve">初始趨勢</t>
    </r>
    <r>
      <rPr>
        <b val="true"/>
        <sz val="11"/>
        <color rgb="FF000000"/>
        <rFont val="Arial"/>
        <family val="0"/>
        <charset val="1"/>
      </rPr>
      <t xml:space="preserve">T0(J11)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</si>
</sst>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3" min="3" style="1" width="70"/>
  </cols>
  <sheetData>
    <row r="1" customFormat="false" ht="21.6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7.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7.15" hidden="false" customHeight="false" outlineLevel="0" collapsed="false">
      <c r="A5" s="5" t="s">
        <v>5</v>
      </c>
      <c r="B5" s="6" t="s">
        <v>6</v>
      </c>
      <c r="C5" s="7" t="s">
        <v>7</v>
      </c>
    </row>
    <row r="6" customFormat="false" ht="17.15" hidden="false" customHeight="false" outlineLevel="0" collapsed="false">
      <c r="A6" s="5" t="s">
        <v>8</v>
      </c>
      <c r="B6" s="6" t="s">
        <v>9</v>
      </c>
      <c r="C6" s="7" t="s">
        <v>10</v>
      </c>
    </row>
    <row r="7" customFormat="false" ht="17.15" hidden="false" customHeight="false" outlineLevel="0" collapsed="false">
      <c r="A7" s="5" t="s">
        <v>11</v>
      </c>
      <c r="B7" s="6" t="s">
        <v>12</v>
      </c>
      <c r="C7" s="7" t="s">
        <v>13</v>
      </c>
    </row>
    <row r="8" customFormat="false" ht="17.15" hidden="false" customHeight="false" outlineLevel="0" collapsed="false">
      <c r="A8" s="5" t="s">
        <v>14</v>
      </c>
      <c r="B8" s="5" t="s">
        <v>15</v>
      </c>
      <c r="C8" s="7" t="s">
        <v>16</v>
      </c>
    </row>
    <row r="9" customFormat="false" ht="17.15" hidden="false" customHeight="false" outlineLevel="0" collapsed="false">
      <c r="A9" s="5" t="s">
        <v>17</v>
      </c>
      <c r="B9" s="5" t="s">
        <v>18</v>
      </c>
      <c r="C9" s="7" t="s">
        <v>19</v>
      </c>
    </row>
    <row r="10" customFormat="false" ht="17.15" hidden="false" customHeight="false" outlineLevel="0" collapsed="false">
      <c r="A10" s="5" t="s">
        <v>20</v>
      </c>
      <c r="B10" s="5" t="s">
        <v>21</v>
      </c>
      <c r="C10" s="7" t="s">
        <v>22</v>
      </c>
    </row>
    <row r="11" customFormat="false" ht="17.15" hidden="false" customHeight="false" outlineLevel="0" collapsed="false">
      <c r="A11" s="5" t="s">
        <v>23</v>
      </c>
      <c r="B11" s="5" t="s">
        <v>24</v>
      </c>
      <c r="C11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4"/>
    <col collapsed="false" customWidth="true" hidden="false" outlineLevel="0" max="7" min="7" style="1" width="18"/>
    <col collapsed="false" customWidth="true" hidden="false" outlineLevel="0" max="8" min="8" style="1" width="12"/>
  </cols>
  <sheetData>
    <row r="1" customFormat="false" ht="21.6" hidden="false" customHeight="false" outlineLevel="0" collapsed="false">
      <c r="A1" s="2" t="s">
        <v>26</v>
      </c>
      <c r="H1" s="8" t="s">
        <v>27</v>
      </c>
    </row>
    <row r="2" customFormat="false" ht="15" hidden="false" customHeight="false" outlineLevel="0" collapsed="false">
      <c r="A2" s="3" t="s">
        <v>28</v>
      </c>
      <c r="H2" s="9" t="n">
        <v>0.2</v>
      </c>
    </row>
    <row r="3" customFormat="false" ht="17.15" hidden="false" customHeight="false" outlineLevel="0" collapsed="false">
      <c r="H3" s="8" t="s">
        <v>29</v>
      </c>
    </row>
    <row r="4" customFormat="false" ht="17.15" hidden="false" customHeight="false" outlineLevel="0" collapsed="false">
      <c r="A4" s="4" t="s">
        <v>30</v>
      </c>
      <c r="B4" s="4" t="s">
        <v>31</v>
      </c>
      <c r="C4" s="10" t="s">
        <v>32</v>
      </c>
      <c r="D4" s="4" t="s">
        <v>33</v>
      </c>
      <c r="E4" s="4" t="s">
        <v>34</v>
      </c>
      <c r="H4" s="11" t="n">
        <f aca="false">SUM(E6:E16)</f>
        <v>4269.82892713145</v>
      </c>
    </row>
    <row r="5" customFormat="false" ht="15" hidden="false" customHeight="false" outlineLevel="0" collapsed="false">
      <c r="A5" s="12" t="n">
        <v>1</v>
      </c>
      <c r="B5" s="9" t="n">
        <v>480</v>
      </c>
      <c r="C5" s="11" t="n">
        <f aca="false">B5</f>
        <v>480</v>
      </c>
      <c r="D5" s="11" t="n">
        <f aca="false">B5-C5</f>
        <v>0</v>
      </c>
      <c r="E5" s="11" t="n">
        <f aca="false">D5^2</f>
        <v>0</v>
      </c>
    </row>
    <row r="6" customFormat="false" ht="15" hidden="false" customHeight="false" outlineLevel="0" collapsed="false">
      <c r="A6" s="12" t="n">
        <v>2</v>
      </c>
      <c r="B6" s="9" t="n">
        <v>495</v>
      </c>
      <c r="C6" s="11" t="n">
        <f aca="false">$H$2*B5+(1-$H$2)*C5</f>
        <v>480</v>
      </c>
      <c r="D6" s="11" t="n">
        <f aca="false">B6-C6</f>
        <v>15</v>
      </c>
      <c r="E6" s="11" t="n">
        <f aca="false">D6^2</f>
        <v>225</v>
      </c>
    </row>
    <row r="7" customFormat="false" ht="15" hidden="false" customHeight="false" outlineLevel="0" collapsed="false">
      <c r="A7" s="12" t="n">
        <v>3</v>
      </c>
      <c r="B7" s="9" t="n">
        <v>470</v>
      </c>
      <c r="C7" s="11" t="n">
        <f aca="false">$H$2*B6+(1-$H$2)*C6</f>
        <v>483</v>
      </c>
      <c r="D7" s="11" t="n">
        <f aca="false">B7-C7</f>
        <v>-13</v>
      </c>
      <c r="E7" s="11" t="n">
        <f aca="false">D7^2</f>
        <v>169</v>
      </c>
    </row>
    <row r="8" customFormat="false" ht="15" hidden="false" customHeight="false" outlineLevel="0" collapsed="false">
      <c r="A8" s="12" t="n">
        <v>4</v>
      </c>
      <c r="B8" s="9" t="n">
        <v>510</v>
      </c>
      <c r="C8" s="11" t="n">
        <f aca="false">$H$2*B7+(1-$H$2)*C7</f>
        <v>480.4</v>
      </c>
      <c r="D8" s="11" t="n">
        <f aca="false">B8-C8</f>
        <v>29.6</v>
      </c>
      <c r="E8" s="11" t="n">
        <f aca="false">D8^2</f>
        <v>876.159999999998</v>
      </c>
    </row>
    <row r="9" customFormat="false" ht="15" hidden="false" customHeight="false" outlineLevel="0" collapsed="false">
      <c r="A9" s="12" t="n">
        <v>5</v>
      </c>
      <c r="B9" s="9" t="n">
        <v>500</v>
      </c>
      <c r="C9" s="11" t="n">
        <f aca="false">$H$2*B8+(1-$H$2)*C8</f>
        <v>486.32</v>
      </c>
      <c r="D9" s="11" t="n">
        <f aca="false">B9-C9</f>
        <v>13.68</v>
      </c>
      <c r="E9" s="11" t="n">
        <f aca="false">D9^2</f>
        <v>187.142399999999</v>
      </c>
    </row>
    <row r="10" customFormat="false" ht="15" hidden="false" customHeight="false" outlineLevel="0" collapsed="false">
      <c r="A10" s="12" t="n">
        <v>6</v>
      </c>
      <c r="B10" s="9" t="n">
        <v>525</v>
      </c>
      <c r="C10" s="11" t="n">
        <f aca="false">$H$2*B9+(1-$H$2)*C9</f>
        <v>489.056</v>
      </c>
      <c r="D10" s="11" t="n">
        <f aca="false">B10-C10</f>
        <v>35.944</v>
      </c>
      <c r="E10" s="11" t="n">
        <f aca="false">D10^2</f>
        <v>1291.971136</v>
      </c>
    </row>
    <row r="11" customFormat="false" ht="15" hidden="false" customHeight="false" outlineLevel="0" collapsed="false">
      <c r="A11" s="12" t="n">
        <v>7</v>
      </c>
      <c r="B11" s="9" t="n">
        <v>490</v>
      </c>
      <c r="C11" s="11" t="n">
        <f aca="false">$H$2*B10+(1-$H$2)*C10</f>
        <v>496.2448</v>
      </c>
      <c r="D11" s="11" t="n">
        <f aca="false">B11-C11</f>
        <v>-6.24480000000006</v>
      </c>
      <c r="E11" s="11" t="n">
        <f aca="false">D11^2</f>
        <v>38.9975270400007</v>
      </c>
    </row>
    <row r="12" customFormat="false" ht="15" hidden="false" customHeight="false" outlineLevel="0" collapsed="false">
      <c r="A12" s="12" t="n">
        <v>8</v>
      </c>
      <c r="B12" s="9" t="n">
        <v>505</v>
      </c>
      <c r="C12" s="11" t="n">
        <f aca="false">$H$2*B11+(1-$H$2)*C11</f>
        <v>494.99584</v>
      </c>
      <c r="D12" s="11" t="n">
        <f aca="false">B12-C12</f>
        <v>10.00416</v>
      </c>
      <c r="E12" s="11" t="n">
        <f aca="false">D12^2</f>
        <v>100.083217305599</v>
      </c>
    </row>
    <row r="13" customFormat="false" ht="15" hidden="false" customHeight="false" outlineLevel="0" collapsed="false">
      <c r="A13" s="12" t="n">
        <v>9</v>
      </c>
      <c r="B13" s="9" t="n">
        <v>515</v>
      </c>
      <c r="C13" s="11" t="n">
        <f aca="false">$H$2*B12+(1-$H$2)*C12</f>
        <v>496.996672</v>
      </c>
      <c r="D13" s="11" t="n">
        <f aca="false">B13-C13</f>
        <v>18.003328</v>
      </c>
      <c r="E13" s="11" t="n">
        <f aca="false">D13^2</f>
        <v>324.119819075582</v>
      </c>
    </row>
    <row r="14" customFormat="false" ht="15" hidden="false" customHeight="false" outlineLevel="0" collapsed="false">
      <c r="A14" s="12" t="n">
        <v>10</v>
      </c>
      <c r="B14" s="9" t="n">
        <v>500</v>
      </c>
      <c r="C14" s="11" t="n">
        <f aca="false">$H$2*B13+(1-$H$2)*C13</f>
        <v>500.5973376</v>
      </c>
      <c r="D14" s="11" t="n">
        <f aca="false">B14-C14</f>
        <v>-0.59733760000006</v>
      </c>
      <c r="E14" s="11" t="n">
        <f aca="false">D14^2</f>
        <v>0.356812208373832</v>
      </c>
    </row>
    <row r="15" customFormat="false" ht="15" hidden="false" customHeight="false" outlineLevel="0" collapsed="false">
      <c r="A15" s="12" t="n">
        <v>11</v>
      </c>
      <c r="B15" s="9" t="n">
        <v>530</v>
      </c>
      <c r="C15" s="11" t="n">
        <f aca="false">$H$2*B14+(1-$H$2)*C14</f>
        <v>500.47787008</v>
      </c>
      <c r="D15" s="11" t="n">
        <f aca="false">B15-C15</f>
        <v>29.5221299199999</v>
      </c>
      <c r="E15" s="11" t="n">
        <f aca="false">D15^2</f>
        <v>871.556155013356</v>
      </c>
    </row>
    <row r="16" customFormat="false" ht="15" hidden="false" customHeight="false" outlineLevel="0" collapsed="false">
      <c r="A16" s="12" t="n">
        <v>12</v>
      </c>
      <c r="B16" s="9" t="n">
        <v>520</v>
      </c>
      <c r="C16" s="11" t="n">
        <f aca="false">$H$2*B15+(1-$H$2)*C15</f>
        <v>506.382296064</v>
      </c>
      <c r="D16" s="11" t="n">
        <f aca="false">B16-C16</f>
        <v>13.6177039359999</v>
      </c>
      <c r="E16" s="11" t="n">
        <f aca="false">D16^2</f>
        <v>185.441860488548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6" min="2" style="1" width="12"/>
    <col collapsed="false" customWidth="true" hidden="false" outlineLevel="0" max="7" min="7" style="1" width="4"/>
    <col collapsed="false" customWidth="true" hidden="false" outlineLevel="0" max="8" min="8" style="1" width="10"/>
  </cols>
  <sheetData>
    <row r="1" customFormat="false" ht="21.6" hidden="false" customHeight="false" outlineLevel="0" collapsed="false">
      <c r="A1" s="2" t="s">
        <v>35</v>
      </c>
      <c r="H1" s="13" t="s">
        <v>36</v>
      </c>
    </row>
    <row r="2" customFormat="false" ht="15" hidden="false" customHeight="false" outlineLevel="0" collapsed="false">
      <c r="A2" s="3" t="s">
        <v>37</v>
      </c>
      <c r="H2" s="9" t="n">
        <v>0.3</v>
      </c>
    </row>
    <row r="3" customFormat="false" ht="15" hidden="false" customHeight="false" outlineLevel="0" collapsed="false">
      <c r="H3" s="13" t="s">
        <v>38</v>
      </c>
    </row>
    <row r="4" customFormat="false" ht="17.15" hidden="false" customHeight="false" outlineLevel="0" collapsed="false">
      <c r="A4" s="4" t="s">
        <v>30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34</v>
      </c>
      <c r="H4" s="9" t="n">
        <v>0.2</v>
      </c>
    </row>
    <row r="5" customFormat="false" ht="17.15" hidden="false" customHeight="false" outlineLevel="0" collapsed="false">
      <c r="A5" s="12" t="n">
        <v>1</v>
      </c>
      <c r="B5" s="9" t="n">
        <v>120</v>
      </c>
      <c r="C5" s="11" t="n">
        <f aca="false">B5</f>
        <v>120</v>
      </c>
      <c r="D5" s="11" t="n">
        <f aca="false">B6-B5</f>
        <v>8</v>
      </c>
      <c r="E5" s="11"/>
      <c r="H5" s="8" t="s">
        <v>29</v>
      </c>
    </row>
    <row r="6" customFormat="false" ht="15" hidden="false" customHeight="false" outlineLevel="0" collapsed="false">
      <c r="A6" s="12" t="n">
        <v>2</v>
      </c>
      <c r="B6" s="9" t="n">
        <v>128</v>
      </c>
      <c r="C6" s="11" t="n">
        <f aca="false">$H$2*B6+(1-$H$2)*(C5+D5)</f>
        <v>128</v>
      </c>
      <c r="D6" s="11" t="n">
        <f aca="false">$H$4*(C6-C5)+(1-$H$4)*D5</f>
        <v>8</v>
      </c>
      <c r="E6" s="11" t="n">
        <f aca="false">C5+D5</f>
        <v>128</v>
      </c>
      <c r="F6" s="11" t="n">
        <f aca="false">(B6-E6)^2</f>
        <v>0</v>
      </c>
      <c r="H6" s="11" t="n">
        <f aca="false">SUM(F6:F14)</f>
        <v>68.733928192777</v>
      </c>
    </row>
    <row r="7" customFormat="false" ht="15" hidden="false" customHeight="false" outlineLevel="0" collapsed="false">
      <c r="A7" s="12" t="n">
        <v>3</v>
      </c>
      <c r="B7" s="9" t="n">
        <v>135</v>
      </c>
      <c r="C7" s="11" t="n">
        <f aca="false">$H$2*B7+(1-$H$2)*(C6+D6)</f>
        <v>135.7</v>
      </c>
      <c r="D7" s="11" t="n">
        <f aca="false">$H$4*(C7-C6)+(1-$H$4)*D6</f>
        <v>7.94</v>
      </c>
      <c r="E7" s="11" t="n">
        <f aca="false">C6+D6</f>
        <v>136</v>
      </c>
      <c r="F7" s="11" t="n">
        <f aca="false">(B7-E7)^2</f>
        <v>1</v>
      </c>
    </row>
    <row r="8" customFormat="false" ht="15" hidden="false" customHeight="false" outlineLevel="0" collapsed="false">
      <c r="A8" s="12" t="n">
        <v>4</v>
      </c>
      <c r="B8" s="9" t="n">
        <v>145</v>
      </c>
      <c r="C8" s="11" t="n">
        <f aca="false">$H$2*B8+(1-$H$2)*(C7+D7)</f>
        <v>144.048</v>
      </c>
      <c r="D8" s="11" t="n">
        <f aca="false">$H$4*(C8-C7)+(1-$H$4)*D7</f>
        <v>8.0216</v>
      </c>
      <c r="E8" s="11" t="n">
        <f aca="false">C7+D7</f>
        <v>143.64</v>
      </c>
      <c r="F8" s="11" t="n">
        <f aca="false">(B8-E8)^2</f>
        <v>1.84960000000004</v>
      </c>
    </row>
    <row r="9" customFormat="false" ht="15" hidden="false" customHeight="false" outlineLevel="0" collapsed="false">
      <c r="A9" s="12" t="n">
        <v>5</v>
      </c>
      <c r="B9" s="9" t="n">
        <v>150</v>
      </c>
      <c r="C9" s="11" t="n">
        <f aca="false">$H$2*B9+(1-$H$2)*(C8+D8)</f>
        <v>151.44872</v>
      </c>
      <c r="D9" s="11" t="n">
        <f aca="false">$H$4*(C9-C8)+(1-$H$4)*D8</f>
        <v>7.897424</v>
      </c>
      <c r="E9" s="11" t="n">
        <f aca="false">C8+D8</f>
        <v>152.0696</v>
      </c>
      <c r="F9" s="11" t="n">
        <f aca="false">(B9-E9)^2</f>
        <v>4.28324416000003</v>
      </c>
    </row>
    <row r="10" customFormat="false" ht="15" hidden="false" customHeight="false" outlineLevel="0" collapsed="false">
      <c r="A10" s="12" t="n">
        <v>6</v>
      </c>
      <c r="B10" s="9" t="n">
        <v>162</v>
      </c>
      <c r="C10" s="11" t="n">
        <f aca="false">$H$2*B10+(1-$H$2)*(C9+D9)</f>
        <v>160.1423008</v>
      </c>
      <c r="D10" s="11" t="n">
        <f aca="false">$H$4*(C10-C9)+(1-$H$4)*D9</f>
        <v>8.05665536</v>
      </c>
      <c r="E10" s="11" t="n">
        <f aca="false">C9+D9</f>
        <v>159.346144</v>
      </c>
      <c r="F10" s="11" t="n">
        <f aca="false">(B10-E10)^2</f>
        <v>7.0429516687361</v>
      </c>
    </row>
    <row r="11" customFormat="false" ht="15" hidden="false" customHeight="false" outlineLevel="0" collapsed="false">
      <c r="A11" s="12" t="n">
        <v>7</v>
      </c>
      <c r="B11" s="9" t="n">
        <v>168</v>
      </c>
      <c r="C11" s="11" t="n">
        <f aca="false">$H$2*B11+(1-$H$2)*(C10+D10)</f>
        <v>168.139269312</v>
      </c>
      <c r="D11" s="11" t="n">
        <f aca="false">$H$4*(C11-C10)+(1-$H$4)*D10</f>
        <v>8.0447179904</v>
      </c>
      <c r="E11" s="11" t="n">
        <f aca="false">C10+D10</f>
        <v>168.19895616</v>
      </c>
      <c r="F11" s="11" t="n">
        <f aca="false">(B11-E11)^2</f>
        <v>0.0395835536019434</v>
      </c>
    </row>
    <row r="12" customFormat="false" ht="15" hidden="false" customHeight="false" outlineLevel="0" collapsed="false">
      <c r="A12" s="12" t="n">
        <v>8</v>
      </c>
      <c r="B12" s="9" t="n">
        <v>180</v>
      </c>
      <c r="C12" s="11" t="n">
        <f aca="false">$H$2*B12+(1-$H$2)*(C11+D11)</f>
        <v>177.32879111168</v>
      </c>
      <c r="D12" s="11" t="n">
        <f aca="false">$H$4*(C12-C11)+(1-$H$4)*D11</f>
        <v>8.273678752256</v>
      </c>
      <c r="E12" s="11" t="n">
        <f aca="false">C11+D11</f>
        <v>176.1839873024</v>
      </c>
      <c r="F12" s="11" t="n">
        <f aca="false">(B12-E12)^2</f>
        <v>14.5619529082447</v>
      </c>
    </row>
    <row r="13" customFormat="false" ht="15" hidden="false" customHeight="false" outlineLevel="0" collapsed="false">
      <c r="A13" s="12" t="n">
        <v>9</v>
      </c>
      <c r="B13" s="9" t="n">
        <v>190</v>
      </c>
      <c r="C13" s="11" t="n">
        <f aca="false">$H$2*B13+(1-$H$2)*(C12+D12)</f>
        <v>186.921728904755</v>
      </c>
      <c r="D13" s="11" t="n">
        <f aca="false">$H$4*(C13-C12)+(1-$H$4)*D12</f>
        <v>8.53753056041984</v>
      </c>
      <c r="E13" s="11" t="n">
        <f aca="false">C12+D12</f>
        <v>185.602469863936</v>
      </c>
      <c r="F13" s="11" t="n">
        <f aca="false">(B13-E13)^2</f>
        <v>19.3382712975914</v>
      </c>
    </row>
    <row r="14" customFormat="false" ht="15" hidden="false" customHeight="false" outlineLevel="0" collapsed="false">
      <c r="A14" s="12" t="n">
        <v>10</v>
      </c>
      <c r="B14" s="9" t="n">
        <v>200</v>
      </c>
      <c r="C14" s="11" t="n">
        <f aca="false">$H$2*B14+(1-$H$2)*(C13+D13)</f>
        <v>196.821481625622</v>
      </c>
      <c r="D14" s="11" t="n">
        <f aca="false">$H$4*(C14-C13)+(1-$H$4)*D13</f>
        <v>8.80997499250933</v>
      </c>
      <c r="E14" s="11" t="n">
        <f aca="false">C13+D13</f>
        <v>195.459259465175</v>
      </c>
      <c r="F14" s="11" t="n">
        <f aca="false">(B14-E14)^2</f>
        <v>20.6183246046029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4" min="3" style="1" width="11"/>
    <col collapsed="false" customWidth="true" hidden="false" outlineLevel="0" max="7" min="5" style="1" width="12"/>
    <col collapsed="false" customWidth="true" hidden="false" outlineLevel="0" max="8" min="8" style="1" width="3"/>
    <col collapsed="false" customWidth="true" hidden="false" outlineLevel="0" max="10" min="9" style="1" width="10"/>
    <col collapsed="false" customWidth="true" hidden="false" outlineLevel="0" max="11" min="11" style="1" width="3"/>
    <col collapsed="false" customWidth="true" hidden="false" outlineLevel="0" max="12" min="12" style="1" width="26"/>
  </cols>
  <sheetData>
    <row r="1" customFormat="false" ht="21.6" hidden="false" customHeight="false" outlineLevel="0" collapsed="false">
      <c r="A1" s="2" t="s">
        <v>43</v>
      </c>
      <c r="J1" s="13" t="s">
        <v>36</v>
      </c>
      <c r="K1" s="8" t="s">
        <v>44</v>
      </c>
      <c r="L1" s="9" t="n">
        <v>0.696</v>
      </c>
    </row>
    <row r="2" customFormat="false" ht="15" hidden="false" customHeight="false" outlineLevel="0" collapsed="false">
      <c r="A2" s="3" t="s">
        <v>45</v>
      </c>
      <c r="J2" s="9" t="n">
        <v>0.2</v>
      </c>
      <c r="L2" s="9" t="n">
        <v>1.217</v>
      </c>
    </row>
    <row r="3" customFormat="false" ht="15" hidden="false" customHeight="false" outlineLevel="0" collapsed="false">
      <c r="J3" s="13" t="s">
        <v>38</v>
      </c>
      <c r="L3" s="9" t="n">
        <v>0.626</v>
      </c>
    </row>
    <row r="4" customFormat="false" ht="17.15" hidden="false" customHeight="false" outlineLevel="0" collapsed="false">
      <c r="A4" s="4" t="s">
        <v>46</v>
      </c>
      <c r="B4" s="4" t="s">
        <v>47</v>
      </c>
      <c r="C4" s="4" t="s">
        <v>40</v>
      </c>
      <c r="D4" s="4" t="s">
        <v>41</v>
      </c>
      <c r="E4" s="4" t="s">
        <v>48</v>
      </c>
      <c r="F4" s="4" t="s">
        <v>42</v>
      </c>
      <c r="G4" s="4" t="s">
        <v>34</v>
      </c>
      <c r="J4" s="9" t="n">
        <v>0.1</v>
      </c>
      <c r="L4" s="9" t="n">
        <v>1.461</v>
      </c>
    </row>
    <row r="5" customFormat="false" ht="15" hidden="false" customHeight="false" outlineLevel="0" collapsed="false">
      <c r="A5" s="12" t="n">
        <v>1</v>
      </c>
      <c r="B5" s="9" t="n">
        <v>200</v>
      </c>
      <c r="C5" s="11" t="n">
        <f aca="false">$J$2*(B5/$L$1)+(1-$J$2)*($J$10+$J$11)</f>
        <v>291.971264367816</v>
      </c>
      <c r="D5" s="11" t="n">
        <f aca="false">$J$4*(C5-$J$10)+(1-$J$4)*$J$11</f>
        <v>5.50962643678161</v>
      </c>
      <c r="E5" s="11" t="n">
        <f aca="false">$J$6*(B5/C5)+(1-$J$6)*$L$1</f>
        <v>0.69269967521603</v>
      </c>
      <c r="J5" s="13" t="s">
        <v>49</v>
      </c>
    </row>
    <row r="6" customFormat="false" ht="15" hidden="false" customHeight="false" outlineLevel="0" collapsed="false">
      <c r="A6" s="12" t="n">
        <v>2</v>
      </c>
      <c r="B6" s="9" t="n">
        <v>350</v>
      </c>
      <c r="C6" s="11" t="n">
        <f aca="false">$J$2*(B6/$L$2)+(1-$J$2)*(C5+D5)</f>
        <v>295.503200729134</v>
      </c>
      <c r="D6" s="11" t="n">
        <f aca="false">$J$4*(C6-C5)+(1-$J$4)*D5</f>
        <v>5.31185742923526</v>
      </c>
      <c r="E6" s="11" t="n">
        <f aca="false">$J$6*(B6/C6)+(1-$J$6)*$L$2</f>
        <v>1.20722610049881</v>
      </c>
      <c r="F6" s="11" t="n">
        <f aca="false">(C5+D5)*$L$2</f>
        <v>362.034244109195</v>
      </c>
      <c r="G6" s="11" t="n">
        <f aca="false">(B6-F6)^2</f>
        <v>144.823031279706</v>
      </c>
      <c r="J6" s="9" t="n">
        <v>0.3</v>
      </c>
    </row>
    <row r="7" customFormat="false" ht="17.15" hidden="false" customHeight="false" outlineLevel="0" collapsed="false">
      <c r="A7" s="12" t="n">
        <v>3</v>
      </c>
      <c r="B7" s="9" t="n">
        <v>180</v>
      </c>
      <c r="C7" s="11" t="n">
        <f aca="false">$J$2*(B7/$L$3)+(1-$J$2)*(C6+D6)</f>
        <v>298.160033747143</v>
      </c>
      <c r="D7" s="11" t="n">
        <f aca="false">$J$4*(C7-C6)+(1-$J$4)*D6</f>
        <v>5.0463549881126</v>
      </c>
      <c r="E7" s="11" t="n">
        <f aca="false">$J$6*(B7/C7)+(1-$J$6)*$L$3</f>
        <v>0.61931079248735</v>
      </c>
      <c r="F7" s="11" t="n">
        <f aca="false">(C6+D6)*$L$3</f>
        <v>188.310226407139</v>
      </c>
      <c r="G7" s="11" t="n">
        <f aca="false">(B7-F7)^2</f>
        <v>69.0598629379151</v>
      </c>
      <c r="J7" s="8" t="s">
        <v>29</v>
      </c>
    </row>
    <row r="8" customFormat="false" ht="15" hidden="false" customHeight="false" outlineLevel="0" collapsed="false">
      <c r="A8" s="12" t="n">
        <v>4</v>
      </c>
      <c r="B8" s="9" t="n">
        <v>420</v>
      </c>
      <c r="C8" s="11" t="n">
        <f aca="false">$J$2*(B8/$L$4)+(1-$J$2)*(C7+D7)</f>
        <v>300.059977517979</v>
      </c>
      <c r="D8" s="11" t="n">
        <f aca="false">$J$4*(C8-C7)+(1-$J$4)*D7</f>
        <v>4.7317138663849</v>
      </c>
      <c r="E8" s="11" t="n">
        <f aca="false">$J$6*(B8/C8)+(1-$J$6)*$L$4</f>
        <v>1.44261604825889</v>
      </c>
      <c r="F8" s="11" t="n">
        <f aca="false">(C7+D7)*$L$4</f>
        <v>442.984533942208</v>
      </c>
      <c r="G8" s="11" t="n">
        <f aca="false">(B8-F8)^2</f>
        <v>528.288800540524</v>
      </c>
      <c r="J8" s="11" t="n">
        <f aca="false">SUM(G6:G16)</f>
        <v>1310.26583465078</v>
      </c>
    </row>
    <row r="9" customFormat="false" ht="17.15" hidden="false" customHeight="false" outlineLevel="0" collapsed="false">
      <c r="A9" s="12" t="n">
        <v>5</v>
      </c>
      <c r="B9" s="9" t="n">
        <v>220</v>
      </c>
      <c r="C9" s="11" t="n">
        <f aca="false">$J$2*(B9/E5)+(1-$J$2)*(C8+D8)</f>
        <v>307.35294402729</v>
      </c>
      <c r="D9" s="11" t="n">
        <f aca="false">$J$4*(C9-C8)+(1-$J$4)*D8</f>
        <v>4.98783913067756</v>
      </c>
      <c r="E9" s="11" t="n">
        <f aca="false">$J$6*(B9/C9)+(1-$J$6)*E5</f>
        <v>0.699626612764716</v>
      </c>
      <c r="F9" s="11" t="n">
        <f aca="false">(C8+D8)*E5</f>
        <v>211.129105630493</v>
      </c>
      <c r="G9" s="11" t="n">
        <f aca="false">(B9-F9)^2</f>
        <v>78.6927669149495</v>
      </c>
      <c r="J9" s="8" t="s">
        <v>50</v>
      </c>
    </row>
    <row r="10" customFormat="false" ht="15" hidden="false" customHeight="false" outlineLevel="0" collapsed="false">
      <c r="A10" s="12" t="n">
        <v>6</v>
      </c>
      <c r="B10" s="9" t="n">
        <v>380</v>
      </c>
      <c r="C10" s="11" t="n">
        <f aca="false">$J$2*(B10/E6)+(1-$J$2)*(C9+D9)</f>
        <v>312.826865147124</v>
      </c>
      <c r="D10" s="11" t="n">
        <f aca="false">$J$4*(C10-C9)+(1-$J$4)*D9</f>
        <v>5.03644732959325</v>
      </c>
      <c r="E10" s="11" t="n">
        <f aca="false">$J$6*(B10/C10)+(1-$J$6)*E6</f>
        <v>1.20947709974345</v>
      </c>
      <c r="F10" s="11" t="n">
        <f aca="false">(C9+D9)*E6</f>
        <v>377.065945678537</v>
      </c>
      <c r="G10" s="11" t="n">
        <f aca="false">(B10-F10)^2</f>
        <v>8.60867476129509</v>
      </c>
      <c r="J10" s="9" t="n">
        <v>287.5</v>
      </c>
    </row>
    <row r="11" customFormat="false" ht="15" hidden="false" customHeight="false" outlineLevel="0" collapsed="false">
      <c r="A11" s="12" t="n">
        <v>7</v>
      </c>
      <c r="B11" s="9" t="n">
        <v>190</v>
      </c>
      <c r="C11" s="11" t="n">
        <f aca="false">$J$2*(B11/E7)+(1-$J$2)*(C10+D10)</f>
        <v>315.649180239469</v>
      </c>
      <c r="D11" s="11" t="n">
        <f aca="false">$J$4*(C11-C10)+(1-$J$4)*D10</f>
        <v>4.81503410586842</v>
      </c>
      <c r="E11" s="11" t="n">
        <f aca="false">$J$6*(B11/C11)+(1-$J$6)*E7</f>
        <v>0.614097779776916</v>
      </c>
      <c r="F11" s="11" t="n">
        <f aca="false">(C10+D10)*E7</f>
        <v>196.85617995261</v>
      </c>
      <c r="G11" s="11" t="n">
        <f aca="false">(B11-F11)^2</f>
        <v>47.0072035425729</v>
      </c>
      <c r="J11" s="9" t="n">
        <v>5.625</v>
      </c>
    </row>
    <row r="12" customFormat="false" ht="15" hidden="false" customHeight="false" outlineLevel="0" collapsed="false">
      <c r="A12" s="12" t="n">
        <v>8</v>
      </c>
      <c r="B12" s="9" t="n">
        <v>450</v>
      </c>
      <c r="C12" s="11" t="n">
        <f aca="false">$J$2*(B12/E8)+(1-$J$2)*(C11+D11)</f>
        <v>318.758033615945</v>
      </c>
      <c r="D12" s="11" t="n">
        <f aca="false">$J$4*(C12-C11)+(1-$J$4)*D11</f>
        <v>4.64441603292915</v>
      </c>
      <c r="E12" s="11" t="n">
        <f aca="false">$J$6*(B12/C12)+(1-$J$6)*E8</f>
        <v>1.433349971391</v>
      </c>
      <c r="F12" s="11" t="n">
        <f aca="false">(C11+D11)*E8</f>
        <v>462.30681850726</v>
      </c>
      <c r="G12" s="11" t="n">
        <f aca="false">(B12-F12)^2</f>
        <v>151.45778177064</v>
      </c>
    </row>
    <row r="13" customFormat="false" ht="15" hidden="false" customHeight="false" outlineLevel="0" collapsed="false">
      <c r="A13" s="12" t="n">
        <v>9</v>
      </c>
      <c r="B13" s="9" t="n">
        <v>240</v>
      </c>
      <c r="C13" s="11" t="n">
        <f aca="false">$J$2*(B13/E9)+(1-$J$2)*(C12+D12)</f>
        <v>327.329984520098</v>
      </c>
      <c r="D13" s="11" t="n">
        <f aca="false">$J$4*(C13-C12)+(1-$J$4)*D12</f>
        <v>5.03716952005149</v>
      </c>
      <c r="E13" s="11" t="n">
        <f aca="false">$J$6*(B13/C13)+(1-$J$6)*E9</f>
        <v>0.709700146073916</v>
      </c>
      <c r="F13" s="11" t="n">
        <f aca="false">(C12+D12)*E9</f>
        <v>226.260960407653</v>
      </c>
      <c r="G13" s="11" t="n">
        <f aca="false">(B13-F13)^2</f>
        <v>188.761208920066</v>
      </c>
    </row>
    <row r="14" customFormat="false" ht="15" hidden="false" customHeight="false" outlineLevel="0" collapsed="false">
      <c r="A14" s="12" t="n">
        <v>10</v>
      </c>
      <c r="B14" s="9" t="n">
        <v>400</v>
      </c>
      <c r="C14" s="11" t="n">
        <f aca="false">$J$2*(B14/E10)+(1-$J$2)*(C13+D13)</f>
        <v>332.038009896967</v>
      </c>
      <c r="D14" s="11" t="n">
        <f aca="false">$J$4*(C14-C13)+(1-$J$4)*D13</f>
        <v>5.0042551057333</v>
      </c>
      <c r="E14" s="11" t="n">
        <f aca="false">$J$6*(B14/C14)+(1-$J$6)*E10</f>
        <v>1.2080383766148</v>
      </c>
      <c r="F14" s="11" t="n">
        <f aca="false">(C13+D13)*E10</f>
        <v>401.990461518466</v>
      </c>
      <c r="G14" s="11" t="n">
        <f aca="false">(B14-F14)^2</f>
        <v>3.96193705649202</v>
      </c>
    </row>
    <row r="15" customFormat="false" ht="15" hidden="false" customHeight="false" outlineLevel="0" collapsed="false">
      <c r="A15" s="12" t="n">
        <v>11</v>
      </c>
      <c r="B15" s="9" t="n">
        <v>205</v>
      </c>
      <c r="C15" s="11" t="n">
        <f aca="false">$J$2*(B15/E11)+(1-$J$2)*(C14+D14)</f>
        <v>336.398424007262</v>
      </c>
      <c r="D15" s="11" t="n">
        <f aca="false">$J$4*(C15-C14)+(1-$J$4)*D14</f>
        <v>4.93987100618944</v>
      </c>
      <c r="E15" s="11" t="n">
        <f aca="false">$J$6*(B15/C15)+(1-$J$6)*E11</f>
        <v>0.612687376049865</v>
      </c>
      <c r="F15" s="11" t="n">
        <f aca="false">(C14+D14)*E11</f>
        <v>206.976906629141</v>
      </c>
      <c r="G15" s="11" t="n">
        <f aca="false">(B15-F15)^2</f>
        <v>3.90815982034269</v>
      </c>
    </row>
    <row r="16" customFormat="false" ht="15" hidden="false" customHeight="false" outlineLevel="0" collapsed="false">
      <c r="A16" s="12" t="n">
        <v>12</v>
      </c>
      <c r="B16" s="9" t="n">
        <v>480</v>
      </c>
      <c r="C16" s="11" t="n">
        <f aca="false">$J$2*(B16/E12)+(1-$J$2)*(C15+D15)</f>
        <v>340.046602743322</v>
      </c>
      <c r="D16" s="11" t="n">
        <f aca="false">$J$4*(C16-C15)+(1-$J$4)*D15</f>
        <v>4.81070177917646</v>
      </c>
      <c r="E16" s="11" t="n">
        <f aca="false">$J$6*(B16/C16)+(1-$J$6)*E12</f>
        <v>1.42681634783411</v>
      </c>
      <c r="F16" s="11" t="n">
        <f aca="false">(C15+D15)*E12</f>
        <v>489.257235392182</v>
      </c>
      <c r="G16" s="11" t="n">
        <f aca="false">(B16-F16)^2</f>
        <v>85.6964071062754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3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3"/>
    <col collapsed="false" customWidth="true" hidden="false" outlineLevel="0" max="11" min="11" style="1" width="14"/>
    <col collapsed="false" customWidth="true" hidden="false" outlineLevel="0" max="12" min="12" style="1" width="10"/>
  </cols>
  <sheetData>
    <row r="1" customFormat="false" ht="21.6" hidden="false" customHeight="false" outlineLevel="0" collapsed="false">
      <c r="A1" s="2" t="s">
        <v>51</v>
      </c>
      <c r="L1" s="8" t="s">
        <v>27</v>
      </c>
    </row>
    <row r="2" customFormat="false" ht="15" hidden="false" customHeight="false" outlineLevel="0" collapsed="false">
      <c r="A2" s="3" t="s">
        <v>52</v>
      </c>
      <c r="L2" s="9" t="n">
        <v>0.2</v>
      </c>
    </row>
    <row r="4" customFormat="false" ht="29.85" hidden="false" customHeight="false" outlineLevel="0" collapsed="false">
      <c r="A4" s="4" t="s">
        <v>30</v>
      </c>
      <c r="B4" s="4" t="s">
        <v>31</v>
      </c>
      <c r="C4" s="10" t="s">
        <v>32</v>
      </c>
      <c r="D4" s="4" t="s">
        <v>33</v>
      </c>
      <c r="E4" s="4" t="s">
        <v>53</v>
      </c>
      <c r="G4" s="4" t="s">
        <v>54</v>
      </c>
      <c r="H4" s="4" t="s">
        <v>55</v>
      </c>
      <c r="I4" s="4" t="s">
        <v>56</v>
      </c>
    </row>
    <row r="5" customFormat="false" ht="15" hidden="false" customHeight="false" outlineLevel="0" collapsed="false">
      <c r="A5" s="12" t="n">
        <v>1</v>
      </c>
      <c r="B5" s="9" t="n">
        <v>480</v>
      </c>
      <c r="C5" s="11" t="n">
        <f aca="false">B5</f>
        <v>480</v>
      </c>
      <c r="D5" s="11" t="n">
        <f aca="false">B5-C5</f>
        <v>0</v>
      </c>
      <c r="E5" s="11" t="n">
        <f aca="false">ABS(D5)</f>
        <v>0</v>
      </c>
    </row>
    <row r="6" customFormat="false" ht="15" hidden="false" customHeight="false" outlineLevel="0" collapsed="false">
      <c r="A6" s="12" t="n">
        <v>2</v>
      </c>
      <c r="B6" s="9" t="n">
        <v>495</v>
      </c>
      <c r="C6" s="11" t="n">
        <f aca="false">$L$2*B5+(1-$L$2)*C5</f>
        <v>480</v>
      </c>
      <c r="D6" s="11" t="n">
        <f aca="false">B6-C6</f>
        <v>15</v>
      </c>
      <c r="E6" s="11" t="n">
        <f aca="false">ABS(D6)</f>
        <v>15</v>
      </c>
      <c r="G6" s="11" t="n">
        <f aca="false">SUM($D$6:D6)</f>
        <v>15</v>
      </c>
      <c r="H6" s="11" t="n">
        <f aca="false">AVERAGE($E$6:E6)</f>
        <v>15</v>
      </c>
      <c r="I6" s="11" t="n">
        <f aca="false">G6/H6</f>
        <v>1</v>
      </c>
    </row>
    <row r="7" customFormat="false" ht="15" hidden="false" customHeight="false" outlineLevel="0" collapsed="false">
      <c r="A7" s="12" t="n">
        <v>3</v>
      </c>
      <c r="B7" s="9" t="n">
        <v>470</v>
      </c>
      <c r="C7" s="11" t="n">
        <f aca="false">$L$2*B6+(1-$L$2)*C6</f>
        <v>483</v>
      </c>
      <c r="D7" s="11" t="n">
        <f aca="false">B7-C7</f>
        <v>-13</v>
      </c>
      <c r="E7" s="11" t="n">
        <f aca="false">ABS(D7)</f>
        <v>13</v>
      </c>
      <c r="G7" s="11" t="n">
        <f aca="false">SUM($D$6:D7)</f>
        <v>2</v>
      </c>
      <c r="H7" s="11" t="n">
        <f aca="false">AVERAGE($E$6:E7)</f>
        <v>14</v>
      </c>
      <c r="I7" s="11" t="n">
        <f aca="false">G7/H7</f>
        <v>0.142857142857143</v>
      </c>
    </row>
    <row r="8" customFormat="false" ht="15" hidden="false" customHeight="false" outlineLevel="0" collapsed="false">
      <c r="A8" s="12" t="n">
        <v>4</v>
      </c>
      <c r="B8" s="9" t="n">
        <v>510</v>
      </c>
      <c r="C8" s="11" t="n">
        <f aca="false">$L$2*B7+(1-$L$2)*C7</f>
        <v>480.4</v>
      </c>
      <c r="D8" s="11" t="n">
        <f aca="false">B8-C8</f>
        <v>29.6</v>
      </c>
      <c r="E8" s="11" t="n">
        <f aca="false">ABS(D8)</f>
        <v>29.6</v>
      </c>
      <c r="G8" s="11" t="n">
        <f aca="false">SUM($D$6:D8)</f>
        <v>31.6</v>
      </c>
      <c r="H8" s="11" t="n">
        <f aca="false">AVERAGE($E$6:E8)</f>
        <v>19.2</v>
      </c>
      <c r="I8" s="11" t="n">
        <f aca="false">G8/H8</f>
        <v>1.64583333333333</v>
      </c>
    </row>
    <row r="9" customFormat="false" ht="15" hidden="false" customHeight="false" outlineLevel="0" collapsed="false">
      <c r="A9" s="12" t="n">
        <v>5</v>
      </c>
      <c r="B9" s="9" t="n">
        <v>500</v>
      </c>
      <c r="C9" s="11" t="n">
        <f aca="false">$L$2*B8+(1-$L$2)*C8</f>
        <v>486.32</v>
      </c>
      <c r="D9" s="11" t="n">
        <f aca="false">B9-C9</f>
        <v>13.68</v>
      </c>
      <c r="E9" s="11" t="n">
        <f aca="false">ABS(D9)</f>
        <v>13.68</v>
      </c>
      <c r="G9" s="11" t="n">
        <f aca="false">SUM($D$6:D9)</f>
        <v>45.2799999999999</v>
      </c>
      <c r="H9" s="11" t="n">
        <f aca="false">AVERAGE($E$6:E9)</f>
        <v>17.82</v>
      </c>
      <c r="I9" s="11" t="n">
        <f aca="false">G9/H9</f>
        <v>2.54096520763187</v>
      </c>
    </row>
    <row r="10" customFormat="false" ht="15" hidden="false" customHeight="false" outlineLevel="0" collapsed="false">
      <c r="A10" s="12" t="n">
        <v>6</v>
      </c>
      <c r="B10" s="9" t="n">
        <v>525</v>
      </c>
      <c r="C10" s="11" t="n">
        <f aca="false">$L$2*B9+(1-$L$2)*C9</f>
        <v>489.056</v>
      </c>
      <c r="D10" s="11" t="n">
        <f aca="false">B10-C10</f>
        <v>35.944</v>
      </c>
      <c r="E10" s="11" t="n">
        <f aca="false">ABS(D10)</f>
        <v>35.944</v>
      </c>
      <c r="G10" s="11" t="n">
        <f aca="false">SUM($D$6:D10)</f>
        <v>81.2239999999999</v>
      </c>
      <c r="H10" s="11" t="n">
        <f aca="false">AVERAGE($E$6:E10)</f>
        <v>21.4448</v>
      </c>
      <c r="I10" s="11" t="n">
        <f aca="false">G10/H10</f>
        <v>3.78758486905916</v>
      </c>
    </row>
    <row r="11" customFormat="false" ht="15" hidden="false" customHeight="false" outlineLevel="0" collapsed="false">
      <c r="A11" s="12" t="n">
        <v>7</v>
      </c>
      <c r="B11" s="9" t="n">
        <v>490</v>
      </c>
      <c r="C11" s="11" t="n">
        <f aca="false">$L$2*B10+(1-$L$2)*C10</f>
        <v>496.2448</v>
      </c>
      <c r="D11" s="11" t="n">
        <f aca="false">B11-C11</f>
        <v>-6.24480000000006</v>
      </c>
      <c r="E11" s="11" t="n">
        <f aca="false">ABS(D11)</f>
        <v>6.24480000000006</v>
      </c>
      <c r="G11" s="11" t="n">
        <f aca="false">SUM($D$6:D11)</f>
        <v>74.9791999999998</v>
      </c>
      <c r="H11" s="11" t="n">
        <f aca="false">AVERAGE($E$6:E11)</f>
        <v>18.9114666666667</v>
      </c>
      <c r="I11" s="11" t="n">
        <f aca="false">G11/H11</f>
        <v>3.96474801883865</v>
      </c>
    </row>
    <row r="12" customFormat="false" ht="15" hidden="false" customHeight="false" outlineLevel="0" collapsed="false">
      <c r="A12" s="12" t="n">
        <v>8</v>
      </c>
      <c r="B12" s="9" t="n">
        <v>505</v>
      </c>
      <c r="C12" s="11" t="n">
        <f aca="false">$L$2*B11+(1-$L$2)*C11</f>
        <v>494.99584</v>
      </c>
      <c r="D12" s="11" t="n">
        <f aca="false">B12-C12</f>
        <v>10.00416</v>
      </c>
      <c r="E12" s="11" t="n">
        <f aca="false">ABS(D12)</f>
        <v>10.00416</v>
      </c>
      <c r="G12" s="11" t="n">
        <f aca="false">SUM($D$6:D12)</f>
        <v>84.9833599999998</v>
      </c>
      <c r="H12" s="11" t="n">
        <f aca="false">AVERAGE($E$6:E12)</f>
        <v>17.6389942857143</v>
      </c>
      <c r="I12" s="11" t="n">
        <f aca="false">G12/H12</f>
        <v>4.8179254793924</v>
      </c>
    </row>
    <row r="13" customFormat="false" ht="15" hidden="false" customHeight="false" outlineLevel="0" collapsed="false">
      <c r="A13" s="12" t="n">
        <v>9</v>
      </c>
      <c r="B13" s="9" t="n">
        <v>515</v>
      </c>
      <c r="C13" s="11" t="n">
        <f aca="false">$L$2*B12+(1-$L$2)*C12</f>
        <v>496.996672</v>
      </c>
      <c r="D13" s="11" t="n">
        <f aca="false">B13-C13</f>
        <v>18.003328</v>
      </c>
      <c r="E13" s="11" t="n">
        <f aca="false">ABS(D13)</f>
        <v>18.003328</v>
      </c>
      <c r="G13" s="11" t="n">
        <f aca="false">SUM($D$6:D13)</f>
        <v>102.986688</v>
      </c>
      <c r="H13" s="11" t="n">
        <f aca="false">AVERAGE($E$6:E13)</f>
        <v>17.684536</v>
      </c>
      <c r="I13" s="11" t="n">
        <f aca="false">G13/H13</f>
        <v>5.82354481904416</v>
      </c>
    </row>
    <row r="14" customFormat="false" ht="15" hidden="false" customHeight="false" outlineLevel="0" collapsed="false">
      <c r="A14" s="12" t="n">
        <v>10</v>
      </c>
      <c r="B14" s="9" t="n">
        <v>500</v>
      </c>
      <c r="C14" s="11" t="n">
        <f aca="false">$L$2*B13+(1-$L$2)*C13</f>
        <v>500.5973376</v>
      </c>
      <c r="D14" s="11" t="n">
        <f aca="false">B14-C14</f>
        <v>-0.59733760000006</v>
      </c>
      <c r="E14" s="11" t="n">
        <f aca="false">ABS(D14)</f>
        <v>0.59733760000006</v>
      </c>
      <c r="G14" s="11" t="n">
        <f aca="false">SUM($D$6:D14)</f>
        <v>102.3893504</v>
      </c>
      <c r="H14" s="11" t="n">
        <f aca="false">AVERAGE($E$6:E14)</f>
        <v>15.7859584</v>
      </c>
      <c r="I14" s="11" t="n">
        <f aca="false">G14/H14</f>
        <v>6.48610289002154</v>
      </c>
    </row>
    <row r="15" customFormat="false" ht="15" hidden="false" customHeight="false" outlineLevel="0" collapsed="false">
      <c r="A15" s="12" t="n">
        <v>11</v>
      </c>
      <c r="B15" s="9" t="n">
        <v>530</v>
      </c>
      <c r="C15" s="11" t="n">
        <f aca="false">$L$2*B14+(1-$L$2)*C14</f>
        <v>500.47787008</v>
      </c>
      <c r="D15" s="11" t="n">
        <f aca="false">B15-C15</f>
        <v>29.5221299199999</v>
      </c>
      <c r="E15" s="11" t="n">
        <f aca="false">ABS(D15)</f>
        <v>29.5221299199999</v>
      </c>
      <c r="G15" s="11" t="n">
        <f aca="false">SUM($D$6:D15)</f>
        <v>131.91148032</v>
      </c>
      <c r="H15" s="11" t="n">
        <f aca="false">AVERAGE($E$6:E15)</f>
        <v>17.159575552</v>
      </c>
      <c r="I15" s="11" t="n">
        <f aca="false">G15/H15</f>
        <v>7.68733934707523</v>
      </c>
    </row>
    <row r="16" customFormat="false" ht="15" hidden="false" customHeight="false" outlineLevel="0" collapsed="false">
      <c r="A16" s="12" t="n">
        <v>12</v>
      </c>
      <c r="B16" s="9" t="n">
        <v>520</v>
      </c>
      <c r="C16" s="11" t="n">
        <f aca="false">$L$2*B15+(1-$L$2)*C15</f>
        <v>506.382296064</v>
      </c>
      <c r="D16" s="11" t="n">
        <f aca="false">B16-C16</f>
        <v>13.6177039359999</v>
      </c>
      <c r="E16" s="11" t="n">
        <f aca="false">ABS(D16)</f>
        <v>13.6177039359999</v>
      </c>
      <c r="G16" s="11" t="n">
        <f aca="false">SUM($D$6:D16)</f>
        <v>145.529184256</v>
      </c>
      <c r="H16" s="11" t="n">
        <f aca="false">AVERAGE($E$6:E16)</f>
        <v>16.8375872232727</v>
      </c>
      <c r="I16" s="11" t="n">
        <f aca="false">G16/H16</f>
        <v>8.64311390499293</v>
      </c>
    </row>
  </sheetData>
  <conditionalFormatting sqref="I6:I16">
    <cfRule type="expression" priority="2" aboveAverage="0" equalAverage="0" bottom="0" percent="0" rank="0" text="" dxfId="0">
      <formula>ABS(I6)&gt;4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4" min="2" style="1" width="14"/>
  </cols>
  <sheetData>
    <row r="1" customFormat="false" ht="21.6" hidden="false" customHeight="false" outlineLevel="0" collapsed="false">
      <c r="A1" s="2" t="s">
        <v>57</v>
      </c>
    </row>
    <row r="2" customFormat="false" ht="15" hidden="false" customHeight="false" outlineLevel="0" collapsed="false">
      <c r="A2" s="3" t="s">
        <v>58</v>
      </c>
    </row>
    <row r="4" customFormat="false" ht="17.15" hidden="false" customHeight="false" outlineLevel="0" collapsed="false">
      <c r="A4" s="4" t="s">
        <v>30</v>
      </c>
      <c r="B4" s="4" t="s">
        <v>59</v>
      </c>
      <c r="C4" s="10" t="s">
        <v>60</v>
      </c>
      <c r="D4" s="10" t="s">
        <v>61</v>
      </c>
    </row>
    <row r="5" customFormat="false" ht="15" hidden="false" customHeight="false" outlineLevel="0" collapsed="false">
      <c r="A5" s="12" t="n">
        <v>1</v>
      </c>
      <c r="B5" s="9" t="n">
        <v>60</v>
      </c>
    </row>
    <row r="6" customFormat="false" ht="15" hidden="false" customHeight="false" outlineLevel="0" collapsed="false">
      <c r="A6" s="12" t="n">
        <v>2</v>
      </c>
      <c r="B6" s="9" t="n">
        <v>64</v>
      </c>
    </row>
    <row r="7" customFormat="false" ht="15" hidden="false" customHeight="false" outlineLevel="0" collapsed="false">
      <c r="A7" s="12" t="n">
        <v>3</v>
      </c>
      <c r="B7" s="9" t="n">
        <v>58</v>
      </c>
    </row>
    <row r="8" customFormat="false" ht="15" hidden="false" customHeight="false" outlineLevel="0" collapsed="false">
      <c r="A8" s="12" t="n">
        <v>4</v>
      </c>
      <c r="B8" s="9" t="n">
        <v>70</v>
      </c>
      <c r="C8" s="11" t="n">
        <f aca="false">AVERAGE(B5:B7)</f>
        <v>60.6666666666667</v>
      </c>
      <c r="D8" s="11" t="n">
        <f aca="false">0.5*B7+0.3*B6+0.2*B5</f>
        <v>60.2</v>
      </c>
    </row>
    <row r="9" customFormat="false" ht="15" hidden="false" customHeight="false" outlineLevel="0" collapsed="false">
      <c r="A9" s="12" t="n">
        <v>5</v>
      </c>
      <c r="B9" s="9" t="n">
        <v>66</v>
      </c>
      <c r="C9" s="11" t="n">
        <f aca="false">AVERAGE(B6:B8)</f>
        <v>64</v>
      </c>
      <c r="D9" s="11" t="n">
        <f aca="false">0.5*B8+0.3*B7+0.2*B6</f>
        <v>65.2</v>
      </c>
    </row>
    <row r="10" customFormat="false" ht="15" hidden="false" customHeight="false" outlineLevel="0" collapsed="false">
      <c r="A10" s="12" t="n">
        <v>6</v>
      </c>
      <c r="B10" s="9" t="n">
        <v>72</v>
      </c>
      <c r="C10" s="11" t="n">
        <f aca="false">AVERAGE(B7:B9)</f>
        <v>64.6666666666667</v>
      </c>
      <c r="D10" s="11" t="n">
        <f aca="false">0.5*B9+0.3*B8+0.2*B7</f>
        <v>65.6</v>
      </c>
    </row>
    <row r="11" customFormat="false" ht="15" hidden="false" customHeight="false" outlineLevel="0" collapsed="false">
      <c r="A11" s="12" t="n">
        <v>7</v>
      </c>
      <c r="B11" s="9" t="n">
        <v>68</v>
      </c>
      <c r="C11" s="11" t="n">
        <f aca="false">AVERAGE(B8:B10)</f>
        <v>69.3333333333333</v>
      </c>
      <c r="D11" s="11" t="n">
        <f aca="false">0.5*B10+0.3*B9+0.2*B8</f>
        <v>69.8</v>
      </c>
    </row>
    <row r="12" customFormat="false" ht="15" hidden="false" customHeight="false" outlineLevel="0" collapsed="false">
      <c r="A12" s="12" t="n">
        <v>8</v>
      </c>
      <c r="B12" s="9" t="n">
        <v>75</v>
      </c>
      <c r="C12" s="11" t="n">
        <f aca="false">AVERAGE(B9:B11)</f>
        <v>68.6666666666667</v>
      </c>
      <c r="D12" s="11" t="n">
        <f aca="false">0.5*B11+0.3*B10+0.2*B9</f>
        <v>68.8</v>
      </c>
    </row>
    <row r="13" customFormat="false" ht="15" hidden="false" customHeight="false" outlineLevel="0" collapsed="false">
      <c r="A13" s="12" t="n">
        <v>9</v>
      </c>
      <c r="B13" s="9" t="n">
        <v>71</v>
      </c>
      <c r="C13" s="11" t="n">
        <f aca="false">AVERAGE(B10:B12)</f>
        <v>71.6666666666667</v>
      </c>
      <c r="D13" s="11" t="n">
        <f aca="false">0.5*B12+0.3*B11+0.2*B10</f>
        <v>72.3</v>
      </c>
    </row>
    <row r="14" customFormat="false" ht="15" hidden="false" customHeight="false" outlineLevel="0" collapsed="false">
      <c r="A14" s="12" t="n">
        <v>10</v>
      </c>
      <c r="B14" s="9" t="n">
        <v>78</v>
      </c>
      <c r="C14" s="11" t="n">
        <f aca="false">AVERAGE(B11:B13)</f>
        <v>71.3333333333333</v>
      </c>
      <c r="D14" s="11" t="n">
        <f aca="false">0.5*B13+0.3*B12+0.2*B11</f>
        <v>71.6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5" min="3" style="1" width="13"/>
    <col collapsed="false" customWidth="true" hidden="false" outlineLevel="0" max="6" min="6" style="1" width="3"/>
    <col collapsed="false" customWidth="true" hidden="false" outlineLevel="0" max="7" min="7" style="1" width="10"/>
    <col collapsed="false" customWidth="true" hidden="false" outlineLevel="0" max="8" min="8" style="1" width="3"/>
    <col collapsed="false" customWidth="true" hidden="false" outlineLevel="0" max="9" min="9" style="1" width="10"/>
    <col collapsed="false" customWidth="true" hidden="false" outlineLevel="0" max="12" min="10" style="1" width="14"/>
  </cols>
  <sheetData>
    <row r="1" customFormat="false" ht="21.6" hidden="false" customHeight="false" outlineLevel="0" collapsed="false">
      <c r="A1" s="2" t="s">
        <v>62</v>
      </c>
      <c r="G1" s="13" t="s">
        <v>63</v>
      </c>
    </row>
    <row r="2" customFormat="false" ht="15" hidden="false" customHeight="false" outlineLevel="0" collapsed="false">
      <c r="A2" s="3" t="s">
        <v>64</v>
      </c>
      <c r="G2" s="9" t="n">
        <v>0.1</v>
      </c>
    </row>
    <row r="3" customFormat="false" ht="15" hidden="false" customHeight="false" outlineLevel="0" collapsed="false">
      <c r="G3" s="9" t="n">
        <v>0.3</v>
      </c>
    </row>
    <row r="4" customFormat="false" ht="17.15" hidden="false" customHeight="false" outlineLevel="0" collapsed="false">
      <c r="A4" s="4" t="s">
        <v>30</v>
      </c>
      <c r="B4" s="4" t="s">
        <v>59</v>
      </c>
      <c r="C4" s="10" t="s">
        <v>65</v>
      </c>
      <c r="D4" s="10" t="s">
        <v>66</v>
      </c>
      <c r="E4" s="10" t="s">
        <v>67</v>
      </c>
      <c r="G4" s="9" t="n">
        <v>0.5</v>
      </c>
      <c r="I4" s="4" t="s">
        <v>68</v>
      </c>
      <c r="J4" s="10" t="s">
        <v>69</v>
      </c>
      <c r="K4" s="10" t="s">
        <v>70</v>
      </c>
      <c r="L4" s="10" t="s">
        <v>71</v>
      </c>
    </row>
    <row r="5" customFormat="false" ht="15" hidden="false" customHeight="false" outlineLevel="0" collapsed="false">
      <c r="A5" s="12" t="n">
        <v>1</v>
      </c>
      <c r="B5" s="9" t="n">
        <v>300</v>
      </c>
      <c r="C5" s="11" t="n">
        <f aca="false">B5</f>
        <v>300</v>
      </c>
      <c r="D5" s="11" t="n">
        <f aca="false">B5</f>
        <v>300</v>
      </c>
      <c r="E5" s="11" t="n">
        <f aca="false">B5</f>
        <v>300</v>
      </c>
      <c r="I5" s="14" t="s">
        <v>72</v>
      </c>
      <c r="J5" s="11" t="n">
        <f aca="false">SUMPRODUCT(ABS(B6:B14-C6:C14))/(14-6+1)</f>
        <v>18.1124952888889</v>
      </c>
      <c r="K5" s="11" t="n">
        <f aca="false">SUMPRODUCT(ABS(B6:B14-D6:D14))/(14-6+1)</f>
        <v>13.5162265111111</v>
      </c>
      <c r="L5" s="11" t="n">
        <f aca="false">SUMPRODUCT(ABS(B6:B14-E6:E14))/(14-6+1)</f>
        <v>13.4548611111111</v>
      </c>
    </row>
    <row r="6" customFormat="false" ht="15" hidden="false" customHeight="false" outlineLevel="0" collapsed="false">
      <c r="A6" s="12" t="n">
        <v>2</v>
      </c>
      <c r="B6" s="9" t="n">
        <v>310</v>
      </c>
      <c r="C6" s="11" t="n">
        <f aca="false">$G$2*B5+(1-$G$2)*C5</f>
        <v>300</v>
      </c>
      <c r="D6" s="11" t="n">
        <f aca="false">$G$3*B5+(1-$G$3)*D5</f>
        <v>300</v>
      </c>
      <c r="E6" s="11" t="n">
        <f aca="false">$G$4*B5+(1-$G$4)*E5</f>
        <v>300</v>
      </c>
      <c r="I6" s="14" t="s">
        <v>73</v>
      </c>
      <c r="J6" s="11" t="n">
        <f aca="false">SUMPRODUCT((B6:B14-C6:C14)^2)/(14-6+1)</f>
        <v>471.262872804725</v>
      </c>
      <c r="K6" s="11" t="n">
        <f aca="false">SUMPRODUCT((B6:B14-D6:D14)^2)/(14-6+1)</f>
        <v>285.796319491019</v>
      </c>
      <c r="L6" s="11" t="n">
        <f aca="false">SUMPRODUCT((B6:B14-E6:E14)^2)/(14-6+1)</f>
        <v>248.212348090278</v>
      </c>
    </row>
    <row r="7" customFormat="false" ht="15" hidden="false" customHeight="false" outlineLevel="0" collapsed="false">
      <c r="A7" s="12" t="n">
        <v>3</v>
      </c>
      <c r="B7" s="9" t="n">
        <v>295</v>
      </c>
      <c r="C7" s="11" t="n">
        <f aca="false">$G$2*B6+(1-$G$2)*C6</f>
        <v>301</v>
      </c>
      <c r="D7" s="11" t="n">
        <f aca="false">$G$3*B6+(1-$G$3)*D6</f>
        <v>303</v>
      </c>
      <c r="E7" s="11" t="n">
        <f aca="false">$G$4*B6+(1-$G$4)*E6</f>
        <v>305</v>
      </c>
      <c r="I7" s="14" t="s">
        <v>74</v>
      </c>
      <c r="J7" s="11" t="n">
        <f aca="false">SQRT(SUMPRODUCT((B6:B14-C6:C14)^2)/(14-6+1))</f>
        <v>21.7085898391564</v>
      </c>
      <c r="K7" s="11" t="n">
        <f aca="false">SQRT(SUMPRODUCT((B6:B14-D6:D14)^2)/(14-6+1))</f>
        <v>16.905511512256</v>
      </c>
      <c r="L7" s="11" t="n">
        <f aca="false">SQRT(SUMPRODUCT((B6:B14-E6:E14)^2)/(14-6+1))</f>
        <v>15.7547563640406</v>
      </c>
    </row>
    <row r="8" customFormat="false" ht="15" hidden="false" customHeight="false" outlineLevel="0" collapsed="false">
      <c r="A8" s="12" t="n">
        <v>4</v>
      </c>
      <c r="B8" s="9" t="n">
        <v>320</v>
      </c>
      <c r="C8" s="11" t="n">
        <f aca="false">$G$2*B7+(1-$G$2)*C7</f>
        <v>300.4</v>
      </c>
      <c r="D8" s="11" t="n">
        <f aca="false">$G$3*B7+(1-$G$3)*D7</f>
        <v>300.6</v>
      </c>
      <c r="E8" s="11" t="n">
        <f aca="false">$G$4*B7+(1-$G$4)*E7</f>
        <v>300</v>
      </c>
      <c r="I8" s="14" t="s">
        <v>75</v>
      </c>
      <c r="J8" s="11" t="n">
        <f aca="false">SUMPRODUCT(ABS((B6:B14-C6:C14)/B6:B14))/(14-6+1)*100</f>
        <v>5.47766397039376</v>
      </c>
      <c r="K8" s="11" t="n">
        <f aca="false">SUMPRODUCT(ABS((B6:B14-D6:D14)/B6:B14))/(14-6+1)*100</f>
        <v>4.09981816267561</v>
      </c>
      <c r="L8" s="11" t="n">
        <f aca="false">SUMPRODUCT(ABS((B6:B14-E6:E14)/B6:B14))/(14-6+1)*100</f>
        <v>4.11384309347266</v>
      </c>
    </row>
    <row r="9" customFormat="false" ht="15" hidden="false" customHeight="false" outlineLevel="0" collapsed="false">
      <c r="A9" s="12" t="n">
        <v>5</v>
      </c>
      <c r="B9" s="9" t="n">
        <v>305</v>
      </c>
      <c r="C9" s="11" t="n">
        <f aca="false">$G$2*B8+(1-$G$2)*C8</f>
        <v>302.36</v>
      </c>
      <c r="D9" s="11" t="n">
        <f aca="false">$G$3*B8+(1-$G$3)*D8</f>
        <v>306.42</v>
      </c>
      <c r="E9" s="11" t="n">
        <f aca="false">$G$4*B8+(1-$G$4)*E8</f>
        <v>310</v>
      </c>
    </row>
    <row r="10" customFormat="false" ht="15" hidden="false" customHeight="false" outlineLevel="0" collapsed="false">
      <c r="A10" s="12" t="n">
        <v>6</v>
      </c>
      <c r="B10" s="9" t="n">
        <v>330</v>
      </c>
      <c r="C10" s="11" t="n">
        <f aca="false">$G$2*B9+(1-$G$2)*C9</f>
        <v>302.624</v>
      </c>
      <c r="D10" s="11" t="n">
        <f aca="false">$G$3*B9+(1-$G$3)*D9</f>
        <v>305.994</v>
      </c>
      <c r="E10" s="11" t="n">
        <f aca="false">$G$4*B9+(1-$G$4)*E9</f>
        <v>307.5</v>
      </c>
    </row>
    <row r="11" customFormat="false" ht="15" hidden="false" customHeight="false" outlineLevel="0" collapsed="false">
      <c r="A11" s="12" t="n">
        <v>7</v>
      </c>
      <c r="B11" s="9" t="n">
        <v>315</v>
      </c>
      <c r="C11" s="11" t="n">
        <f aca="false">$G$2*B10+(1-$G$2)*C10</f>
        <v>305.3616</v>
      </c>
      <c r="D11" s="11" t="n">
        <f aca="false">$G$3*B10+(1-$G$3)*D10</f>
        <v>313.1958</v>
      </c>
      <c r="E11" s="11" t="n">
        <f aca="false">$G$4*B10+(1-$G$4)*E10</f>
        <v>318.75</v>
      </c>
    </row>
    <row r="12" customFormat="false" ht="15" hidden="false" customHeight="false" outlineLevel="0" collapsed="false">
      <c r="A12" s="12" t="n">
        <v>8</v>
      </c>
      <c r="B12" s="9" t="n">
        <v>340</v>
      </c>
      <c r="C12" s="11" t="n">
        <f aca="false">$G$2*B11+(1-$G$2)*C11</f>
        <v>306.32544</v>
      </c>
      <c r="D12" s="11" t="n">
        <f aca="false">$G$3*B11+(1-$G$3)*D11</f>
        <v>313.73706</v>
      </c>
      <c r="E12" s="11" t="n">
        <f aca="false">$G$4*B11+(1-$G$4)*E11</f>
        <v>316.875</v>
      </c>
    </row>
    <row r="13" customFormat="false" ht="15" hidden="false" customHeight="false" outlineLevel="0" collapsed="false">
      <c r="A13" s="12" t="n">
        <v>9</v>
      </c>
      <c r="B13" s="9" t="n">
        <v>325</v>
      </c>
      <c r="C13" s="11" t="n">
        <f aca="false">$G$2*B12+(1-$G$2)*C12</f>
        <v>309.692896</v>
      </c>
      <c r="D13" s="11" t="n">
        <f aca="false">$G$3*B12+(1-$G$3)*D12</f>
        <v>321.615942</v>
      </c>
      <c r="E13" s="11" t="n">
        <f aca="false">$G$4*B12+(1-$G$4)*E12</f>
        <v>328.4375</v>
      </c>
    </row>
    <row r="14" customFormat="false" ht="15" hidden="false" customHeight="false" outlineLevel="0" collapsed="false">
      <c r="A14" s="12" t="n">
        <v>10</v>
      </c>
      <c r="B14" s="9" t="n">
        <v>350</v>
      </c>
      <c r="C14" s="11" t="n">
        <f aca="false">$G$2*B13+(1-$G$2)*C13</f>
        <v>311.2236064</v>
      </c>
      <c r="D14" s="11" t="n">
        <f aca="false">$G$3*B13+(1-$G$3)*D13</f>
        <v>322.6311594</v>
      </c>
      <c r="E14" s="11" t="n">
        <f aca="false">$G$4*B13+(1-$G$4)*E13</f>
        <v>326.71875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5"/>
    <col collapsed="false" customWidth="true" hidden="false" outlineLevel="0" max="6" min="3" style="1" width="12"/>
    <col collapsed="false" customWidth="true" hidden="false" outlineLevel="0" max="7" min="7" style="1" width="4"/>
    <col collapsed="false" customWidth="true" hidden="false" outlineLevel="0" max="8" min="8" style="1" width="10"/>
  </cols>
  <sheetData>
    <row r="1" customFormat="false" ht="21.6" hidden="false" customHeight="false" outlineLevel="0" collapsed="false">
      <c r="A1" s="2" t="s">
        <v>76</v>
      </c>
      <c r="H1" s="13" t="s">
        <v>36</v>
      </c>
    </row>
    <row r="2" customFormat="false" ht="15" hidden="false" customHeight="false" outlineLevel="0" collapsed="false">
      <c r="A2" s="3" t="s">
        <v>77</v>
      </c>
      <c r="H2" s="9" t="n">
        <v>0.25</v>
      </c>
    </row>
    <row r="3" customFormat="false" ht="15" hidden="false" customHeight="false" outlineLevel="0" collapsed="false">
      <c r="H3" s="13" t="s">
        <v>38</v>
      </c>
    </row>
    <row r="4" customFormat="false" ht="32.8" hidden="false" customHeight="false" outlineLevel="0" collapsed="false">
      <c r="A4" s="4" t="s">
        <v>30</v>
      </c>
      <c r="B4" s="4" t="s">
        <v>78</v>
      </c>
      <c r="C4" s="4" t="s">
        <v>40</v>
      </c>
      <c r="D4" s="4" t="s">
        <v>41</v>
      </c>
      <c r="E4" s="4" t="s">
        <v>42</v>
      </c>
      <c r="F4" s="4" t="s">
        <v>34</v>
      </c>
      <c r="H4" s="9" t="n">
        <v>0.15</v>
      </c>
    </row>
    <row r="5" customFormat="false" ht="17.15" hidden="false" customHeight="false" outlineLevel="0" collapsed="false">
      <c r="A5" s="12" t="n">
        <v>1</v>
      </c>
      <c r="B5" s="9" t="n">
        <v>80</v>
      </c>
      <c r="C5" s="11" t="n">
        <f aca="false">B5</f>
        <v>80</v>
      </c>
      <c r="D5" s="11" t="n">
        <f aca="false">B6-B5</f>
        <v>6</v>
      </c>
      <c r="H5" s="8" t="s">
        <v>79</v>
      </c>
    </row>
    <row r="6" customFormat="false" ht="15" hidden="false" customHeight="false" outlineLevel="0" collapsed="false">
      <c r="A6" s="12" t="n">
        <v>2</v>
      </c>
      <c r="B6" s="9" t="n">
        <v>86</v>
      </c>
      <c r="C6" s="11" t="n">
        <f aca="false">$H$2*B6+(1-$H$2)*(C5+D5)</f>
        <v>86</v>
      </c>
      <c r="D6" s="11" t="n">
        <f aca="false">$H$4*(C6-C5)+(1-$H$4)*D5</f>
        <v>6</v>
      </c>
      <c r="E6" s="11" t="n">
        <f aca="false">C5+D5</f>
        <v>86</v>
      </c>
      <c r="F6" s="11" t="n">
        <f aca="false">(B6-E6)^2</f>
        <v>0</v>
      </c>
      <c r="H6" s="11" t="n">
        <f aca="false">SUM(F6:F12)</f>
        <v>14.268328663899</v>
      </c>
    </row>
    <row r="7" customFormat="false" ht="15" hidden="false" customHeight="false" outlineLevel="0" collapsed="false">
      <c r="A7" s="12" t="n">
        <v>3</v>
      </c>
      <c r="B7" s="9" t="n">
        <v>90</v>
      </c>
      <c r="C7" s="11" t="n">
        <f aca="false">$H$2*B7+(1-$H$2)*(C6+D6)</f>
        <v>91.5</v>
      </c>
      <c r="D7" s="11" t="n">
        <f aca="false">$H$4*(C7-C6)+(1-$H$4)*D6</f>
        <v>5.925</v>
      </c>
      <c r="E7" s="11" t="n">
        <f aca="false">C6+D6</f>
        <v>92</v>
      </c>
      <c r="F7" s="11" t="n">
        <f aca="false">(B7-E7)^2</f>
        <v>4</v>
      </c>
    </row>
    <row r="8" customFormat="false" ht="15" hidden="false" customHeight="false" outlineLevel="0" collapsed="false">
      <c r="A8" s="12" t="n">
        <v>4</v>
      </c>
      <c r="B8" s="9" t="n">
        <v>97</v>
      </c>
      <c r="C8" s="11" t="n">
        <f aca="false">$H$2*B8+(1-$H$2)*(C7+D7)</f>
        <v>97.31875</v>
      </c>
      <c r="D8" s="11" t="n">
        <f aca="false">$H$4*(C8-C7)+(1-$H$4)*D7</f>
        <v>5.9090625</v>
      </c>
      <c r="E8" s="11" t="n">
        <f aca="false">C7+D7</f>
        <v>97.425</v>
      </c>
      <c r="F8" s="11" t="n">
        <f aca="false">(B8-E8)^2</f>
        <v>0.180624999999998</v>
      </c>
    </row>
    <row r="9" customFormat="false" ht="15" hidden="false" customHeight="false" outlineLevel="0" collapsed="false">
      <c r="A9" s="12" t="n">
        <v>5</v>
      </c>
      <c r="B9" s="9" t="n">
        <v>101</v>
      </c>
      <c r="C9" s="11" t="n">
        <f aca="false">$H$2*B9+(1-$H$2)*(C8+D8)</f>
        <v>102.670859375</v>
      </c>
      <c r="D9" s="11" t="n">
        <f aca="false">$H$4*(C9-C8)+(1-$H$4)*D8</f>
        <v>5.82551953125</v>
      </c>
      <c r="E9" s="11" t="n">
        <f aca="false">C8+D8</f>
        <v>103.2278125</v>
      </c>
      <c r="F9" s="11" t="n">
        <f aca="false">(B9-E9)^2</f>
        <v>4.96314853515625</v>
      </c>
    </row>
    <row r="10" customFormat="false" ht="15" hidden="false" customHeight="false" outlineLevel="0" collapsed="false">
      <c r="A10" s="12" t="n">
        <v>6</v>
      </c>
      <c r="B10" s="9" t="n">
        <v>108</v>
      </c>
      <c r="C10" s="11" t="n">
        <f aca="false">$H$2*B10+(1-$H$2)*(C9+D9)</f>
        <v>108.372284179687</v>
      </c>
      <c r="D10" s="11" t="n">
        <f aca="false">$H$4*(C10-C9)+(1-$H$4)*D9</f>
        <v>5.80690532226562</v>
      </c>
      <c r="E10" s="11" t="n">
        <f aca="false">C9+D9</f>
        <v>108.49637890625</v>
      </c>
      <c r="F10" s="11" t="n">
        <f aca="false">(B10-E10)^2</f>
        <v>0.246392018569933</v>
      </c>
    </row>
    <row r="11" customFormat="false" ht="15" hidden="false" customHeight="false" outlineLevel="0" collapsed="false">
      <c r="A11" s="12" t="n">
        <v>7</v>
      </c>
      <c r="B11" s="9" t="n">
        <v>112</v>
      </c>
      <c r="C11" s="11" t="n">
        <f aca="false">$H$2*B11+(1-$H$2)*(C10+D10)</f>
        <v>113.634392126465</v>
      </c>
      <c r="D11" s="11" t="n">
        <f aca="false">$H$4*(C11-C10)+(1-$H$4)*D10</f>
        <v>5.72518571594238</v>
      </c>
      <c r="E11" s="11" t="n">
        <f aca="false">C10+D10</f>
        <v>114.179189501953</v>
      </c>
      <c r="F11" s="11" t="n">
        <f aca="false">(B11-E11)^2</f>
        <v>4.74886688542262</v>
      </c>
    </row>
    <row r="12" customFormat="false" ht="15" hidden="false" customHeight="false" outlineLevel="0" collapsed="false">
      <c r="A12" s="12" t="n">
        <v>8</v>
      </c>
      <c r="B12" s="9" t="n">
        <v>119</v>
      </c>
      <c r="C12" s="11" t="n">
        <f aca="false">$H$2*B12+(1-$H$2)*(C11+D11)</f>
        <v>119.269683381805</v>
      </c>
      <c r="D12" s="11" t="n">
        <f aca="false">$H$4*(C12-C11)+(1-$H$4)*D11</f>
        <v>5.71170154685211</v>
      </c>
      <c r="E12" s="11" t="n">
        <f aca="false">C11+D11</f>
        <v>119.359577842407</v>
      </c>
      <c r="F12" s="11" t="n">
        <f aca="false">(B12-E12)^2</f>
        <v>0.129296224750231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4" min="3" style="1" width="11"/>
    <col collapsed="false" customWidth="true" hidden="false" outlineLevel="0" max="7" min="5" style="1" width="12"/>
    <col collapsed="false" customWidth="true" hidden="false" outlineLevel="0" max="8" min="8" style="1" width="3"/>
    <col collapsed="false" customWidth="true" hidden="false" outlineLevel="0" max="10" min="9" style="1" width="10"/>
    <col collapsed="false" customWidth="true" hidden="false" outlineLevel="0" max="11" min="11" style="1" width="3"/>
    <col collapsed="false" customWidth="true" hidden="false" outlineLevel="0" max="12" min="12" style="1" width="26"/>
  </cols>
  <sheetData>
    <row r="1" customFormat="false" ht="21.6" hidden="false" customHeight="false" outlineLevel="0" collapsed="false">
      <c r="A1" s="2" t="s">
        <v>80</v>
      </c>
      <c r="J1" s="13" t="s">
        <v>36</v>
      </c>
      <c r="K1" s="8" t="s">
        <v>81</v>
      </c>
      <c r="L1" s="9" t="n">
        <v>0.789</v>
      </c>
    </row>
    <row r="2" customFormat="false" ht="15" hidden="false" customHeight="false" outlineLevel="0" collapsed="false">
      <c r="A2" s="3" t="s">
        <v>82</v>
      </c>
      <c r="J2" s="9" t="n">
        <v>0.2</v>
      </c>
      <c r="L2" s="9" t="n">
        <v>1.105</v>
      </c>
    </row>
    <row r="3" customFormat="false" ht="15" hidden="false" customHeight="false" outlineLevel="0" collapsed="false">
      <c r="J3" s="13" t="s">
        <v>38</v>
      </c>
      <c r="L3" s="9" t="n">
        <v>0.737</v>
      </c>
    </row>
    <row r="4" customFormat="false" ht="17.15" hidden="false" customHeight="false" outlineLevel="0" collapsed="false">
      <c r="A4" s="4" t="s">
        <v>46</v>
      </c>
      <c r="B4" s="4" t="s">
        <v>47</v>
      </c>
      <c r="C4" s="4" t="s">
        <v>40</v>
      </c>
      <c r="D4" s="4" t="s">
        <v>41</v>
      </c>
      <c r="E4" s="4" t="s">
        <v>48</v>
      </c>
      <c r="F4" s="4" t="s">
        <v>42</v>
      </c>
      <c r="G4" s="4" t="s">
        <v>34</v>
      </c>
      <c r="J4" s="9" t="n">
        <v>0.1</v>
      </c>
      <c r="L4" s="9" t="n">
        <v>1.368</v>
      </c>
    </row>
    <row r="5" customFormat="false" ht="15" hidden="false" customHeight="false" outlineLevel="0" collapsed="false">
      <c r="A5" s="12" t="n">
        <v>1</v>
      </c>
      <c r="B5" s="9" t="n">
        <v>150</v>
      </c>
      <c r="C5" s="11" t="n">
        <f aca="false">$J$2*(B5/$L$1)+(1-$J$2)*($J$10+$J$11)</f>
        <v>193.273213688213</v>
      </c>
      <c r="D5" s="11" t="n">
        <f aca="false">$J$4*(C5-$J$10)+(1-$J$4)*$J$11</f>
        <v>3.98402136882129</v>
      </c>
      <c r="E5" s="11" t="n">
        <f aca="false">$J$6*(B5/C5)+(1-$J$6)*$L$1</f>
        <v>0.785131022681672</v>
      </c>
      <c r="J5" s="13" t="s">
        <v>49</v>
      </c>
    </row>
    <row r="6" customFormat="false" ht="15" hidden="false" customHeight="false" outlineLevel="0" collapsed="false">
      <c r="A6" s="12" t="n">
        <v>2</v>
      </c>
      <c r="B6" s="9" t="n">
        <v>210</v>
      </c>
      <c r="C6" s="11" t="n">
        <f aca="false">$J$2*(B6/$L$2)+(1-$J$2)*(C5+D5)</f>
        <v>195.814837819383</v>
      </c>
      <c r="D6" s="11" t="n">
        <f aca="false">$J$4*(C6-C5)+(1-$J$4)*D5</f>
        <v>3.83978164505618</v>
      </c>
      <c r="E6" s="11" t="n">
        <f aca="false">$J$6*(B6/C6)+(1-$J$6)*$L$2</f>
        <v>1.09523251374398</v>
      </c>
      <c r="F6" s="11" t="n">
        <f aca="false">(C5+D5)*$L$2</f>
        <v>217.969244738023</v>
      </c>
      <c r="G6" s="11" t="n">
        <f aca="false">(B6-F6)^2</f>
        <v>63.5088616945042</v>
      </c>
      <c r="J6" s="9" t="n">
        <v>0.3</v>
      </c>
    </row>
    <row r="7" customFormat="false" ht="17.15" hidden="false" customHeight="false" outlineLevel="0" collapsed="false">
      <c r="A7" s="12" t="n">
        <v>3</v>
      </c>
      <c r="B7" s="9" t="n">
        <v>140</v>
      </c>
      <c r="C7" s="11" t="n">
        <f aca="false">$J$2*(B7/$L$3)+(1-$J$2)*(C6+D6)</f>
        <v>197.715554458933</v>
      </c>
      <c r="D7" s="11" t="n">
        <f aca="false">$J$4*(C7-C6)+(1-$J$4)*D6</f>
        <v>3.64587514450552</v>
      </c>
      <c r="E7" s="11" t="n">
        <f aca="false">$J$6*(B7/C7)+(1-$J$6)*$L$3</f>
        <v>0.728326382511669</v>
      </c>
      <c r="F7" s="11" t="n">
        <f aca="false">(C6+D6)*$L$3</f>
        <v>147.145454545292</v>
      </c>
      <c r="G7" s="11" t="n">
        <f aca="false">(B7-F7)^2</f>
        <v>51.0575206588302</v>
      </c>
      <c r="J7" s="8" t="s">
        <v>79</v>
      </c>
    </row>
    <row r="8" customFormat="false" ht="15" hidden="false" customHeight="false" outlineLevel="0" collapsed="false">
      <c r="A8" s="12" t="n">
        <v>4</v>
      </c>
      <c r="B8" s="9" t="n">
        <v>260</v>
      </c>
      <c r="C8" s="11" t="n">
        <f aca="false">$J$2*(B8/$L$4)+(1-$J$2)*(C7+D7)</f>
        <v>199.100839589183</v>
      </c>
      <c r="D8" s="11" t="n">
        <f aca="false">$J$4*(C8-C7)+(1-$J$4)*D7</f>
        <v>3.41981614308003</v>
      </c>
      <c r="E8" s="11" t="n">
        <f aca="false">$J$6*(B8/C8)+(1-$J$6)*$L$4</f>
        <v>1.34936128117261</v>
      </c>
      <c r="F8" s="11" t="n">
        <f aca="false">(C7+D7)*$L$4</f>
        <v>275.462435697503</v>
      </c>
      <c r="G8" s="11" t="n">
        <f aca="false">(B8-F8)^2</f>
        <v>239.086917699429</v>
      </c>
      <c r="J8" s="11" t="n">
        <f aca="false">SUM(G6:G12)</f>
        <v>492.441194341986</v>
      </c>
    </row>
    <row r="9" customFormat="false" ht="17.15" hidden="false" customHeight="false" outlineLevel="0" collapsed="false">
      <c r="A9" s="12" t="n">
        <v>5</v>
      </c>
      <c r="B9" s="9" t="n">
        <v>165</v>
      </c>
      <c r="C9" s="11" t="n">
        <f aca="false">$J$2*(B9/E5)+(1-$J$2)*(C8+D8)</f>
        <v>204.047725807851</v>
      </c>
      <c r="D9" s="11" t="n">
        <f aca="false">$J$4*(C9-C8)+(1-$J$4)*D8</f>
        <v>3.57252315063884</v>
      </c>
      <c r="E9" s="11" t="n">
        <f aca="false">$J$6*(B9/C9)+(1-$J$6)*E5</f>
        <v>0.792182020689553</v>
      </c>
      <c r="F9" s="11" t="n">
        <f aca="false">(C8+D8)*E5</f>
        <v>159.005249549235</v>
      </c>
      <c r="G9" s="11" t="n">
        <f aca="false">(B9-F9)^2</f>
        <v>35.9370329669499</v>
      </c>
      <c r="J9" s="8" t="s">
        <v>83</v>
      </c>
    </row>
    <row r="10" customFormat="false" ht="15" hidden="false" customHeight="false" outlineLevel="0" collapsed="false">
      <c r="A10" s="12" t="n">
        <v>6</v>
      </c>
      <c r="B10" s="9" t="n">
        <v>230</v>
      </c>
      <c r="C10" s="11" t="n">
        <f aca="false">$J$2*(B10/E6)+(1-$J$2)*(C9+D9)</f>
        <v>208.096413206049</v>
      </c>
      <c r="D10" s="11" t="n">
        <f aca="false">$J$4*(C10-C9)+(1-$J$4)*D9</f>
        <v>3.62013957539467</v>
      </c>
      <c r="E10" s="11" t="n">
        <f aca="false">$J$6*(B10/C10)+(1-$J$6)*E6</f>
        <v>1.09823983457824</v>
      </c>
      <c r="F10" s="11" t="n">
        <f aca="false">(C9+D9)*E6</f>
        <v>227.392447170958</v>
      </c>
      <c r="G10" s="11" t="n">
        <f aca="false">(B10-F10)^2</f>
        <v>6.79933175624312</v>
      </c>
      <c r="J10" s="9" t="n">
        <v>190</v>
      </c>
    </row>
    <row r="11" customFormat="false" ht="15" hidden="false" customHeight="false" outlineLevel="0" collapsed="false">
      <c r="A11" s="12" t="n">
        <v>7</v>
      </c>
      <c r="B11" s="9" t="n">
        <v>150</v>
      </c>
      <c r="C11" s="11" t="n">
        <f aca="false">$J$2*(B11/E7)+(1-$J$2)*(C10+D10)</f>
        <v>210.563566673575</v>
      </c>
      <c r="D11" s="11" t="n">
        <f aca="false">$J$4*(C11-C10)+(1-$J$4)*D10</f>
        <v>3.50484096460785</v>
      </c>
      <c r="E11" s="11" t="n">
        <f aca="false">$J$6*(B11/C11)+(1-$J$6)*E7</f>
        <v>0.723540653160883</v>
      </c>
      <c r="F11" s="11" t="n">
        <f aca="false">(C10+D10)*E7</f>
        <v>154.198751005149</v>
      </c>
      <c r="G11" s="11" t="n">
        <f aca="false">(B11-F11)^2</f>
        <v>17.6295100032431</v>
      </c>
      <c r="J11" s="9" t="n">
        <v>4.063</v>
      </c>
    </row>
    <row r="12" customFormat="false" ht="15" hidden="false" customHeight="false" outlineLevel="0" collapsed="false">
      <c r="A12" s="12" t="n">
        <v>8</v>
      </c>
      <c r="B12" s="9" t="n">
        <v>280</v>
      </c>
      <c r="C12" s="11" t="n">
        <f aca="false">$J$2*(B12/E8)+(1-$J$2)*(C11+D11)</f>
        <v>212.755842810246</v>
      </c>
      <c r="D12" s="11" t="n">
        <f aca="false">$J$4*(C12-C11)+(1-$J$4)*D11</f>
        <v>3.37358448181411</v>
      </c>
      <c r="E12" s="11" t="n">
        <f aca="false">$J$6*(B12/C12)+(1-$J$6)*E8</f>
        <v>1.33937166602811</v>
      </c>
      <c r="F12" s="11" t="n">
        <f aca="false">(C11+D11)*E8</f>
        <v>288.855620789238</v>
      </c>
      <c r="G12" s="11" t="n">
        <f aca="false">(B12-F12)^2</f>
        <v>78.4220195627863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2026-09-15T03:40:22Z</dcterms:created>
  <dc:creator>openpyxl</dc:creator>
  <dc:description/>
  <dc:language>en-US</dc:language>
  <cp:lastModifiedBy/>
  <dcterms:modified xsi:type="dcterms:W3CDTF">2026-09-15T03:40:22Z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