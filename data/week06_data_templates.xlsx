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資料彙整" sheetId="1" state="visible" r:id="rId3"/>
    <sheet name="01_單機排程比較_保修站" sheetId="2" state="visible" r:id="rId4"/>
    <sheet name="02_約翰遜法則_塢修排程" sheetId="3" state="visible" r:id="rId5"/>
    <sheet name="03_匈牙利法矩陣消去_技工指派" sheetId="4" state="visible" r:id="rId6"/>
    <sheet name="04_規劃求解二元指派" sheetId="5" state="visible" r:id="rId7"/>
    <sheet name="05_練習1_單機排程" sheetId="6" state="visible" r:id="rId8"/>
    <sheet name="06_練習2_匈牙利法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<sst xmlns="http://schemas.openxmlformats.org/spreadsheetml/2006/main" count="270" uniqueCount="101">
  <si>
    <r>
      <rPr>
        <b val="true"/>
        <sz val="14"/>
        <rFont val="Noto Sans CJK SC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Noto Sans CJK SC"/>
        <family val="2"/>
      </rPr>
      <t xml:space="preserve">週 排程與指派 — 本週模擬資料集彙整</t>
    </r>
  </si>
  <si>
    <t xml:space="preserve">以下為本週講義中所有模擬資料集，供學員自行複製至其他工作表練習使用。</t>
  </si>
  <si>
    <t xml:space="preserve">資料集名稱</t>
  </si>
  <si>
    <t xml:space="preserve">用途</t>
  </si>
  <si>
    <t xml:space="preserve">摘要</t>
  </si>
  <si>
    <r>
      <rPr>
        <sz val="11"/>
        <color theme="1"/>
        <rFont val="Noto Sans CJK SC"/>
        <family val="2"/>
      </rPr>
      <t xml:space="preserve">戰甲車保修站</t>
    </r>
    <r>
      <rPr>
        <sz val="11"/>
        <color theme="1"/>
        <rFont val="Calibri"/>
        <family val="2"/>
        <charset val="1"/>
      </rPr>
      <t xml:space="preserve">(7</t>
    </r>
    <r>
      <rPr>
        <sz val="11"/>
        <color theme="1"/>
        <rFont val="Noto Sans CJK SC"/>
        <family val="2"/>
      </rPr>
      <t xml:space="preserve">項工作</t>
    </r>
    <r>
      <rPr>
        <sz val="11"/>
        <color theme="1"/>
        <rFont val="Calibri"/>
        <family val="2"/>
        <charset val="1"/>
      </rPr>
      <t xml:space="preserve">)</t>
    </r>
  </si>
  <si>
    <t xml:space="preserve">單機排程主範例</t>
  </si>
  <si>
    <t xml:space="preserve">A(4,8) B(7,15) C(2,6) D(5,9) E(3,12) F(6,18) G(1,5)</t>
  </si>
  <si>
    <r>
      <rPr>
        <sz val="11"/>
        <color theme="1"/>
        <rFont val="Noto Sans CJK SC"/>
        <family val="2"/>
      </rPr>
      <t xml:space="preserve">艦艇塢修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Noto Sans CJK SC"/>
        <family val="2"/>
      </rPr>
      <t xml:space="preserve">項裝備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雙站</t>
    </r>
    <r>
      <rPr>
        <sz val="11"/>
        <color theme="1"/>
        <rFont val="Calibri"/>
        <family val="2"/>
        <charset val="1"/>
      </rPr>
      <t xml:space="preserve">)</t>
    </r>
  </si>
  <si>
    <t xml:space="preserve">約翰遜法則主範例</t>
  </si>
  <si>
    <t xml:space="preserve">1(5,2) 2(1,6) 3(9,7) 4(3,8) 5(10,4) 6(6,5)</t>
  </si>
  <si>
    <r>
      <rPr>
        <sz val="11"/>
        <color theme="1"/>
        <rFont val="Noto Sans CJK SC"/>
        <family val="2"/>
      </rPr>
      <t xml:space="preserve">技工指派</t>
    </r>
    <r>
      <rPr>
        <sz val="11"/>
        <color theme="1"/>
        <rFont val="Calibri"/>
        <family val="2"/>
        <charset val="1"/>
      </rPr>
      <t xml:space="preserve">(4x4</t>
    </r>
    <r>
      <rPr>
        <sz val="11"/>
        <color theme="1"/>
        <rFont val="Noto Sans CJK SC"/>
        <family val="2"/>
      </rPr>
      <t xml:space="preserve">矩陣</t>
    </r>
    <r>
      <rPr>
        <sz val="11"/>
        <color theme="1"/>
        <rFont val="Calibri"/>
        <family val="2"/>
        <charset val="1"/>
      </rPr>
      <t xml:space="preserve">)</t>
    </r>
  </si>
  <si>
    <t xml:space="preserve">匈牙利法主範例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</si>
  <si>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(11,14,6,15) </t>
    </r>
    <r>
      <rPr>
        <sz val="11"/>
        <color theme="1"/>
        <rFont val="Noto Sans CJK SC"/>
        <family val="2"/>
      </rPr>
      <t xml:space="preserve">乙</t>
    </r>
    <r>
      <rPr>
        <sz val="11"/>
        <color theme="1"/>
        <rFont val="Calibri"/>
        <family val="2"/>
        <charset val="1"/>
      </rPr>
      <t xml:space="preserve">(8,10,11,7) </t>
    </r>
    <r>
      <rPr>
        <sz val="11"/>
        <color theme="1"/>
        <rFont val="Noto Sans CJK SC"/>
        <family val="2"/>
      </rPr>
      <t xml:space="preserve">丙</t>
    </r>
    <r>
      <rPr>
        <sz val="11"/>
        <color theme="1"/>
        <rFont val="Calibri"/>
        <family val="2"/>
        <charset val="1"/>
      </rPr>
      <t xml:space="preserve">(9,12,7,11) </t>
    </r>
    <r>
      <rPr>
        <sz val="11"/>
        <color theme="1"/>
        <rFont val="Noto Sans CJK SC"/>
        <family val="2"/>
      </rPr>
      <t xml:space="preserve">丁</t>
    </r>
    <r>
      <rPr>
        <sz val="11"/>
        <color theme="1"/>
        <rFont val="Calibri"/>
        <family val="2"/>
        <charset val="1"/>
      </rPr>
      <t xml:space="preserve">(9,10,6,9)</t>
    </r>
  </si>
  <si>
    <r>
      <rPr>
        <sz val="11"/>
        <color theme="1"/>
        <rFont val="Noto Sans CJK SC"/>
        <family val="2"/>
      </rPr>
      <t xml:space="preserve">通信裝備維修站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Noto Sans CJK SC"/>
        <family val="2"/>
      </rPr>
      <t xml:space="preserve">項工作</t>
    </r>
    <r>
      <rPr>
        <sz val="11"/>
        <color theme="1"/>
        <rFont val="Calibri"/>
        <family val="2"/>
        <charset val="1"/>
      </rPr>
      <t xml:space="preserve">)</t>
    </r>
  </si>
  <si>
    <t xml:space="preserve">延伸練習一</t>
  </si>
  <si>
    <t xml:space="preserve">P(3,10) Q(6,9) R(2,5) S(8,20) T(4,16) U(5,13)</t>
  </si>
  <si>
    <r>
      <rPr>
        <sz val="11"/>
        <color theme="1"/>
        <rFont val="Noto Sans CJK SC"/>
        <family val="2"/>
      </rPr>
      <t xml:space="preserve">技師檢測任務</t>
    </r>
    <r>
      <rPr>
        <sz val="11"/>
        <color theme="1"/>
        <rFont val="Calibri"/>
        <family val="2"/>
        <charset val="1"/>
      </rPr>
      <t xml:space="preserve">(3x3</t>
    </r>
    <r>
      <rPr>
        <sz val="11"/>
        <color theme="1"/>
        <rFont val="Noto Sans CJK SC"/>
        <family val="2"/>
      </rPr>
      <t xml:space="preserve">矩陣</t>
    </r>
    <r>
      <rPr>
        <sz val="11"/>
        <color theme="1"/>
        <rFont val="Calibri"/>
        <family val="2"/>
        <charset val="1"/>
      </rPr>
      <t xml:space="preserve">)</t>
    </r>
  </si>
  <si>
    <t xml:space="preserve">延伸練習二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</si>
  <si>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(8,6,5) </t>
    </r>
    <r>
      <rPr>
        <sz val="11"/>
        <color theme="1"/>
        <rFont val="Noto Sans CJK SC"/>
        <family val="2"/>
      </rPr>
      <t xml:space="preserve">乙</t>
    </r>
    <r>
      <rPr>
        <sz val="11"/>
        <color theme="1"/>
        <rFont val="Calibri"/>
        <family val="2"/>
        <charset val="1"/>
      </rPr>
      <t xml:space="preserve">(6,7,9) </t>
    </r>
    <r>
      <rPr>
        <sz val="11"/>
        <color theme="1"/>
        <rFont val="Noto Sans CJK SC"/>
        <family val="2"/>
      </rPr>
      <t xml:space="preserve">丙</t>
    </r>
    <r>
      <rPr>
        <sz val="11"/>
        <color theme="1"/>
        <rFont val="Calibri"/>
        <family val="2"/>
        <charset val="1"/>
      </rPr>
      <t xml:space="preserve">(5,5,4)</t>
    </r>
  </si>
  <si>
    <t xml:space="preserve">示範一：單機排程績效自動比較表（戰甲車保修站）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</si>
  <si>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A2:D8</t>
    </r>
    <r>
      <rPr>
        <i val="true"/>
        <sz val="9"/>
        <color rgb="FF666666"/>
        <rFont val="Noto Sans CJK SC"/>
        <family val="2"/>
      </rPr>
      <t xml:space="preserve">為基礎資料；下方四個區塊分別依</t>
    </r>
    <r>
      <rPr>
        <i val="true"/>
        <sz val="9"/>
        <color rgb="FF666666"/>
        <rFont val="Arial"/>
        <family val="0"/>
        <charset val="1"/>
      </rPr>
      <t xml:space="preserve">FCFS/SPT/EDD/CR</t>
    </r>
    <r>
      <rPr>
        <i val="true"/>
        <sz val="9"/>
        <color rgb="FF666666"/>
        <rFont val="Noto Sans CJK SC"/>
        <family val="2"/>
      </rPr>
      <t xml:space="preserve">排序後，用</t>
    </r>
    <r>
      <rPr>
        <i val="true"/>
        <sz val="9"/>
        <color rgb="FF666666"/>
        <rFont val="Arial"/>
        <family val="0"/>
        <charset val="1"/>
      </rPr>
      <t xml:space="preserve">VLOOKUP</t>
    </r>
    <r>
      <rPr>
        <i val="true"/>
        <sz val="9"/>
        <color rgb="FF666666"/>
        <rFont val="Noto Sans CJK SC"/>
        <family val="2"/>
      </rPr>
      <t xml:space="preserve">查找</t>
    </r>
    <r>
      <rPr>
        <i val="true"/>
        <sz val="9"/>
        <color rgb="FF666666"/>
        <rFont val="Arial"/>
        <family val="0"/>
        <charset val="1"/>
      </rPr>
      <t xml:space="preserve">p,d</t>
    </r>
    <r>
      <rPr>
        <i val="true"/>
        <sz val="9"/>
        <color rgb="FF666666"/>
        <rFont val="Noto Sans CJK SC"/>
        <family val="2"/>
      </rPr>
      <t xml:space="preserve">並自動計算績效指標。</t>
    </r>
  </si>
  <si>
    <r>
      <rPr>
        <b val="true"/>
        <sz val="11"/>
        <color rgb="FF000000"/>
        <rFont val="Arial"/>
        <family val="0"/>
        <charset val="1"/>
      </rPr>
      <t xml:space="preserve">FCFS </t>
    </r>
    <r>
      <rPr>
        <b val="true"/>
        <sz val="11"/>
        <color rgb="FF000000"/>
        <rFont val="Noto Sans CJK SC"/>
        <family val="2"/>
      </rPr>
      <t xml:space="preserve">排序</t>
    </r>
  </si>
  <si>
    <r>
      <rPr>
        <b val="true"/>
        <sz val="11"/>
        <color rgb="FF000000"/>
        <rFont val="Arial"/>
        <family val="0"/>
        <charset val="1"/>
      </rPr>
      <t xml:space="preserve">SPT </t>
    </r>
    <r>
      <rPr>
        <b val="true"/>
        <sz val="11"/>
        <color rgb="FF000000"/>
        <rFont val="Noto Sans CJK SC"/>
        <family val="2"/>
      </rPr>
      <t xml:space="preserve">排序</t>
    </r>
  </si>
  <si>
    <r>
      <rPr>
        <b val="true"/>
        <sz val="11"/>
        <color rgb="FF000000"/>
        <rFont val="Arial"/>
        <family val="0"/>
        <charset val="1"/>
      </rPr>
      <t xml:space="preserve">EDD </t>
    </r>
    <r>
      <rPr>
        <b val="true"/>
        <sz val="11"/>
        <color rgb="FF000000"/>
        <rFont val="Noto Sans CJK SC"/>
        <family val="2"/>
      </rPr>
      <t xml:space="preserve">排序</t>
    </r>
  </si>
  <si>
    <r>
      <rPr>
        <b val="true"/>
        <sz val="11"/>
        <color rgb="FF000000"/>
        <rFont val="Arial"/>
        <family val="0"/>
        <charset val="1"/>
      </rPr>
      <t xml:space="preserve">CR </t>
    </r>
    <r>
      <rPr>
        <b val="true"/>
        <sz val="11"/>
        <color rgb="FF000000"/>
        <rFont val="Noto Sans CJK SC"/>
        <family val="2"/>
      </rPr>
      <t xml:space="preserve">排序</t>
    </r>
  </si>
  <si>
    <t xml:space="preserve">工作</t>
  </si>
  <si>
    <t xml:space="preserve">進站順序</t>
  </si>
  <si>
    <r>
      <rPr>
        <b val="true"/>
        <sz val="11"/>
        <color rgb="FFFFFFFF"/>
        <rFont val="Noto Sans CJK SC"/>
        <family val="2"/>
      </rPr>
      <t xml:space="preserve">處理時間</t>
    </r>
    <r>
      <rPr>
        <b val="true"/>
        <sz val="11"/>
        <color rgb="FFFFFFFF"/>
        <rFont val="Arial"/>
        <family val="0"/>
        <charset val="1"/>
      </rPr>
      <t xml:space="preserve">p</t>
    </r>
  </si>
  <si>
    <r>
      <rPr>
        <b val="true"/>
        <sz val="11"/>
        <color rgb="FFFFFFFF"/>
        <rFont val="Noto Sans CJK SC"/>
        <family val="2"/>
      </rPr>
      <t xml:space="preserve">交期</t>
    </r>
    <r>
      <rPr>
        <b val="true"/>
        <sz val="11"/>
        <color rgb="FFFFFFFF"/>
        <rFont val="Arial"/>
        <family val="0"/>
        <charset val="1"/>
      </rPr>
      <t xml:space="preserve">d</t>
    </r>
  </si>
  <si>
    <t xml:space="preserve">p</t>
  </si>
  <si>
    <t xml:space="preserve">d</t>
  </si>
  <si>
    <t xml:space="preserve">完工時間</t>
  </si>
  <si>
    <t xml:space="preserve">延遲</t>
  </si>
  <si>
    <t xml:space="preserve">延遲時間</t>
  </si>
  <si>
    <t xml:space="preserve">A</t>
  </si>
  <si>
    <t xml:space="preserve">G</t>
  </si>
  <si>
    <t xml:space="preserve">D</t>
  </si>
  <si>
    <t xml:space="preserve">B</t>
  </si>
  <si>
    <t xml:space="preserve">C</t>
  </si>
  <si>
    <t xml:space="preserve">E</t>
  </si>
  <si>
    <t xml:space="preserve">F</t>
  </si>
  <si>
    <t xml:space="preserve">平均流程時間</t>
  </si>
  <si>
    <t xml:space="preserve">平均延遲時間</t>
  </si>
  <si>
    <t xml:space="preserve">逾期件數</t>
  </si>
  <si>
    <t xml:space="preserve">示範二：約翰遜法則甘特圖（艦艇塢修排程）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</si>
  <si>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D</t>
    </r>
    <r>
      <rPr>
        <i val="true"/>
        <sz val="9"/>
        <color rgb="FF666666"/>
        <rFont val="Noto Sans CJK SC"/>
        <family val="2"/>
      </rPr>
      <t xml:space="preserve">欄為依約翰遜法則人工排定之順序；</t>
    </r>
    <r>
      <rPr>
        <i val="true"/>
        <sz val="9"/>
        <color rgb="FF666666"/>
        <rFont val="Arial"/>
        <family val="0"/>
        <charset val="1"/>
      </rPr>
      <t xml:space="preserve">E:H</t>
    </r>
    <r>
      <rPr>
        <i val="true"/>
        <sz val="9"/>
        <color rgb="FF666666"/>
        <rFont val="Noto Sans CJK SC"/>
        <family val="2"/>
      </rPr>
      <t xml:space="preserve">欄自動計算甘特圖時間軸。</t>
    </r>
  </si>
  <si>
    <r>
      <rPr>
        <b val="true"/>
        <sz val="11"/>
        <color rgb="FFFFFFFF"/>
        <rFont val="Noto Sans CJK SC"/>
        <family val="2"/>
      </rPr>
      <t xml:space="preserve">機台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時間</t>
    </r>
  </si>
  <si>
    <r>
      <rPr>
        <b val="true"/>
        <sz val="11"/>
        <color rgb="FFFFFFFF"/>
        <rFont val="Noto Sans CJK SC"/>
        <family val="2"/>
      </rPr>
      <t xml:space="preserve">機台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時間</t>
    </r>
  </si>
  <si>
    <t xml:space="preserve">約翰遜排序</t>
  </si>
  <si>
    <t xml:space="preserve">排序</t>
  </si>
  <si>
    <r>
      <rPr>
        <b val="true"/>
        <sz val="11"/>
        <color rgb="FFFFFFFF"/>
        <rFont val="Arial"/>
        <family val="0"/>
        <charset val="1"/>
      </rPr>
      <t xml:space="preserve">M1</t>
    </r>
    <r>
      <rPr>
        <b val="true"/>
        <sz val="11"/>
        <color rgb="FFFFFFFF"/>
        <rFont val="Noto Sans CJK SC"/>
        <family val="2"/>
      </rPr>
      <t xml:space="preserve">時間</t>
    </r>
  </si>
  <si>
    <r>
      <rPr>
        <b val="true"/>
        <sz val="11"/>
        <color rgb="FFFFFFFF"/>
        <rFont val="Arial"/>
        <family val="0"/>
        <charset val="1"/>
      </rPr>
      <t xml:space="preserve">M2</t>
    </r>
    <r>
      <rPr>
        <b val="true"/>
        <sz val="11"/>
        <color rgb="FFFFFFFF"/>
        <rFont val="Noto Sans CJK SC"/>
        <family val="2"/>
      </rPr>
      <t xml:space="preserve">時間</t>
    </r>
  </si>
  <si>
    <r>
      <rPr>
        <b val="true"/>
        <sz val="11"/>
        <color rgb="FFFFFFFF"/>
        <rFont val="Arial"/>
        <family val="0"/>
        <charset val="1"/>
      </rPr>
      <t xml:space="preserve">M1</t>
    </r>
    <r>
      <rPr>
        <b val="true"/>
        <sz val="11"/>
        <color rgb="FFFFFFFF"/>
        <rFont val="Noto Sans CJK SC"/>
        <family val="2"/>
      </rPr>
      <t xml:space="preserve">開始</t>
    </r>
  </si>
  <si>
    <r>
      <rPr>
        <b val="true"/>
        <sz val="11"/>
        <color rgb="FFFFFFFF"/>
        <rFont val="Arial"/>
        <family val="0"/>
        <charset val="1"/>
      </rPr>
      <t xml:space="preserve">M1</t>
    </r>
    <r>
      <rPr>
        <b val="true"/>
        <sz val="11"/>
        <color rgb="FFFFFFFF"/>
        <rFont val="Noto Sans CJK SC"/>
        <family val="2"/>
      </rPr>
      <t xml:space="preserve">結束</t>
    </r>
  </si>
  <si>
    <r>
      <rPr>
        <b val="true"/>
        <sz val="11"/>
        <color rgb="FFFFFFFF"/>
        <rFont val="Arial"/>
        <family val="0"/>
        <charset val="1"/>
      </rPr>
      <t xml:space="preserve">M2</t>
    </r>
    <r>
      <rPr>
        <b val="true"/>
        <sz val="11"/>
        <color rgb="FFFFFFFF"/>
        <rFont val="Noto Sans CJK SC"/>
        <family val="2"/>
      </rPr>
      <t xml:space="preserve">開始</t>
    </r>
  </si>
  <si>
    <r>
      <rPr>
        <b val="true"/>
        <sz val="11"/>
        <color rgb="FFFFFFFF"/>
        <rFont val="Arial"/>
        <family val="0"/>
        <charset val="1"/>
      </rPr>
      <t xml:space="preserve">M2</t>
    </r>
    <r>
      <rPr>
        <b val="true"/>
        <sz val="11"/>
        <color rgb="FFFFFFFF"/>
        <rFont val="Noto Sans CJK SC"/>
        <family val="2"/>
      </rPr>
      <t xml:space="preserve">結束</t>
    </r>
  </si>
  <si>
    <r>
      <rPr>
        <b val="true"/>
        <sz val="11"/>
        <color rgb="FFFFFFFF"/>
        <rFont val="Arial"/>
        <family val="0"/>
        <charset val="1"/>
      </rPr>
      <t xml:space="preserve">M1</t>
    </r>
    <r>
      <rPr>
        <b val="true"/>
        <sz val="11"/>
        <color rgb="FFFFFFFF"/>
        <rFont val="Noto Sans CJK SC"/>
        <family val="2"/>
      </rPr>
      <t xml:space="preserve">開始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透明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</si>
  <si>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M1</t>
    </r>
    <r>
      <rPr>
        <b val="true"/>
        <sz val="11"/>
        <color rgb="FFFFFFFF"/>
        <rFont val="Noto Sans CJK SC"/>
        <family val="2"/>
      </rPr>
      <t xml:space="preserve">時長</t>
    </r>
  </si>
  <si>
    <r>
      <rPr>
        <b val="true"/>
        <sz val="11"/>
        <color rgb="FFFFFFFF"/>
        <rFont val="Arial"/>
        <family val="0"/>
        <charset val="1"/>
      </rPr>
      <t xml:space="preserve">M2</t>
    </r>
    <r>
      <rPr>
        <b val="true"/>
        <sz val="11"/>
        <color rgb="FFFFFFFF"/>
        <rFont val="Noto Sans CJK SC"/>
        <family val="2"/>
      </rPr>
      <t xml:space="preserve">開始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透明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</si>
  <si>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M2</t>
    </r>
    <r>
      <rPr>
        <b val="true"/>
        <sz val="11"/>
        <color rgb="FFFFFFFF"/>
        <rFont val="Noto Sans CJK SC"/>
        <family val="2"/>
      </rPr>
      <t xml:space="preserve">時長</t>
    </r>
  </si>
  <si>
    <r>
      <rPr>
        <b val="true"/>
        <sz val="11"/>
        <color rgb="FF000000"/>
        <rFont val="Arial"/>
        <family val="0"/>
        <charset val="1"/>
      </rPr>
      <t xml:space="preserve">Makespan (</t>
    </r>
    <r>
      <rPr>
        <b val="true"/>
        <sz val="11"/>
        <color rgb="FF000000"/>
        <rFont val="Noto Sans CJK SC"/>
        <family val="2"/>
      </rPr>
      <t xml:space="preserve">總完工時間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</si>
  <si>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原始成本矩陣</t>
  </si>
  <si>
    <r>
      <rPr>
        <b val="true"/>
        <sz val="11"/>
        <color rgb="FFFFFFFF"/>
        <rFont val="Noto Sans CJK SC"/>
        <family val="2"/>
      </rPr>
      <t xml:space="preserve">任務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</si>
  <si>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任務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</si>
  <si>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任務</t>
    </r>
    <r>
      <rPr>
        <b val="true"/>
        <sz val="11"/>
        <color rgb="FFFFFFFF"/>
        <rFont val="Arial"/>
        <family val="0"/>
        <charset val="1"/>
      </rPr>
      <t xml:space="preserve">3</t>
    </r>
  </si>
  <si>
    <r>
      <rPr>
        <b val="true"/>
        <sz val="11"/>
        <color rgb="FFFFFFFF"/>
        <rFont val="Noto Sans CJK SC"/>
        <family val="2"/>
      </rPr>
      <t xml:space="preserve">任務</t>
    </r>
    <r>
      <rPr>
        <b val="true"/>
        <sz val="11"/>
        <color rgb="FFFFFFFF"/>
        <rFont val="Arial"/>
        <family val="0"/>
        <charset val="1"/>
      </rPr>
      <t xml:space="preserve">4</t>
    </r>
  </si>
  <si>
    <t xml:space="preserve">列縮減後矩陣（各列減去該列最小值）</t>
  </si>
  <si>
    <t xml:space="preserve">技工甲</t>
  </si>
  <si>
    <t xml:space="preserve">技工乙</t>
  </si>
  <si>
    <t xml:space="preserve">技工丙</t>
  </si>
  <si>
    <t xml:space="preserve">技工丁</t>
  </si>
  <si>
    <t xml:space="preserve">列最小值</t>
  </si>
  <si>
    <t xml:space="preserve">欄最小值</t>
  </si>
  <si>
    <t xml:space="preserve">行縮減後矩陣（各欄減去該欄最小值）</t>
  </si>
  <si>
    <r>
      <rPr>
        <b val="true"/>
        <sz val="11"/>
        <color rgb="FF000000"/>
        <rFont val="Noto Sans CJK SC"/>
        <family val="2"/>
      </rPr>
      <t xml:space="preserve">矩陣調整後結果（依</t>
    </r>
    <r>
      <rPr>
        <b val="true"/>
        <sz val="11"/>
        <color rgb="FF000000"/>
        <rFont val="Arial"/>
        <family val="0"/>
        <charset val="1"/>
      </rPr>
      <t xml:space="preserve">1.4</t>
    </r>
    <r>
      <rPr>
        <b val="true"/>
        <sz val="11"/>
        <color rgb="FF000000"/>
        <rFont val="Noto Sans CJK SC"/>
        <family val="2"/>
      </rPr>
      <t xml:space="preserve">節：未覆蓋</t>
    </r>
    <r>
      <rPr>
        <b val="true"/>
        <sz val="11"/>
        <color rgb="FF000000"/>
        <rFont val="Arial"/>
        <family val="0"/>
        <charset val="1"/>
      </rPr>
      <t xml:space="preserve">-1</t>
    </r>
    <r>
      <rPr>
        <b val="true"/>
        <sz val="11"/>
        <color rgb="FF000000"/>
        <rFont val="Noto Sans CJK SC"/>
        <family val="2"/>
      </rPr>
      <t xml:space="preserve">，雙覆蓋</t>
    </r>
    <r>
      <rPr>
        <b val="true"/>
        <sz val="11"/>
        <color rgb="FF000000"/>
        <rFont val="Arial"/>
        <family val="0"/>
        <charset val="1"/>
      </rPr>
      <t xml:space="preserve">+1</t>
    </r>
    <r>
      <rPr>
        <b val="true"/>
        <sz val="11"/>
        <color rgb="FF000000"/>
        <rFont val="Noto Sans CJK SC"/>
        <family val="2"/>
      </rPr>
      <t xml:space="preserve">）</t>
    </r>
  </si>
  <si>
    <r>
      <rPr>
        <b val="true"/>
        <sz val="11"/>
        <color rgb="FF000000"/>
        <rFont val="Noto Sans CJK SC"/>
        <family val="2"/>
      </rPr>
      <t xml:space="preserve">最佳指派（依調整後矩陣中的</t>
    </r>
    <r>
      <rPr>
        <b val="true"/>
        <sz val="11"/>
        <color rgb="FF000000"/>
        <rFont val="Arial"/>
        <family val="0"/>
        <charset val="1"/>
      </rPr>
      <t xml:space="preserve">0</t>
    </r>
    <r>
      <rPr>
        <b val="true"/>
        <sz val="11"/>
        <color rgb="FF000000"/>
        <rFont val="Noto Sans CJK SC"/>
        <family val="2"/>
      </rPr>
      <t xml:space="preserve">判讀）</t>
    </r>
  </si>
  <si>
    <r>
      <rPr>
        <sz val="11"/>
        <color theme="1"/>
        <rFont val="Noto Sans CJK SC"/>
        <family val="2"/>
      </rPr>
      <t xml:space="preserve">技工甲→任務</t>
    </r>
    <r>
      <rPr>
        <sz val="11"/>
        <color theme="1"/>
        <rFont val="Calibri"/>
        <family val="2"/>
        <charset val="1"/>
      </rPr>
      <t xml:space="preserve">3(6)</t>
    </r>
    <r>
      <rPr>
        <sz val="11"/>
        <color theme="1"/>
        <rFont val="Noto Sans CJK SC"/>
        <family val="2"/>
      </rPr>
      <t xml:space="preserve">　技工乙→任務</t>
    </r>
    <r>
      <rPr>
        <sz val="11"/>
        <color theme="1"/>
        <rFont val="Calibri"/>
        <family val="2"/>
        <charset val="1"/>
      </rPr>
      <t xml:space="preserve">4(7)</t>
    </r>
    <r>
      <rPr>
        <sz val="11"/>
        <color theme="1"/>
        <rFont val="Noto Sans CJK SC"/>
        <family val="2"/>
      </rPr>
      <t xml:space="preserve">　技工丙→任務</t>
    </r>
    <r>
      <rPr>
        <sz val="11"/>
        <color theme="1"/>
        <rFont val="Calibri"/>
        <family val="2"/>
        <charset val="1"/>
      </rPr>
      <t xml:space="preserve">1(9)</t>
    </r>
    <r>
      <rPr>
        <sz val="11"/>
        <color theme="1"/>
        <rFont val="Noto Sans CJK SC"/>
        <family val="2"/>
      </rPr>
      <t xml:space="preserve">　技工丁→任務</t>
    </r>
    <r>
      <rPr>
        <sz val="11"/>
        <color theme="1"/>
        <rFont val="Calibri"/>
        <family val="2"/>
        <charset val="1"/>
      </rPr>
      <t xml:space="preserve">2(10)</t>
    </r>
  </si>
  <si>
    <r>
      <rPr>
        <b val="true"/>
        <sz val="11"/>
        <color rgb="FF000000"/>
        <rFont val="Noto Sans CJK SC"/>
        <family val="2"/>
      </rPr>
      <t xml:space="preserve">總工時</t>
    </r>
    <r>
      <rPr>
        <b val="true"/>
        <sz val="11"/>
        <color rgb="FF000000"/>
        <rFont val="Arial"/>
        <family val="0"/>
        <charset val="1"/>
      </rPr>
      <t xml:space="preserve">=</t>
    </r>
  </si>
  <si>
    <t xml:space="preserve">示範四：規劃求解二元變數指派矩陣（技工指派驗證）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</si>
  <si>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B8:E11</t>
    </r>
    <r>
      <rPr>
        <i val="true"/>
        <sz val="9"/>
        <color rgb="FF666666"/>
        <rFont val="Noto Sans CJK SC"/>
        <family val="2"/>
      </rPr>
      <t xml:space="preserve">為決策變數</t>
    </r>
    <r>
      <rPr>
        <i val="true"/>
        <sz val="9"/>
        <color rgb="FF666666"/>
        <rFont val="Arial"/>
        <family val="0"/>
        <charset val="1"/>
      </rPr>
      <t xml:space="preserve">x[i,j]</t>
    </r>
    <r>
      <rPr>
        <i val="true"/>
        <sz val="9"/>
        <color rgb="FF666666"/>
        <rFont val="Noto Sans CJK SC"/>
        <family val="2"/>
      </rPr>
      <t xml:space="preserve">（</t>
    </r>
    <r>
      <rPr>
        <i val="true"/>
        <sz val="9"/>
        <color rgb="FF666666"/>
        <rFont val="Arial"/>
        <family val="0"/>
        <charset val="1"/>
      </rPr>
      <t xml:space="preserve">0/1</t>
    </r>
    <r>
      <rPr>
        <i val="true"/>
        <sz val="9"/>
        <color rgb="FF666666"/>
        <rFont val="Noto Sans CJK SC"/>
        <family val="2"/>
      </rPr>
      <t xml:space="preserve">，已預填匈牙利法最佳解）；可用規劃求解重新驗證。</t>
    </r>
  </si>
  <si>
    <r>
      <rPr>
        <b val="true"/>
        <sz val="11"/>
        <color rgb="FF000000"/>
        <rFont val="Noto Sans CJK SC"/>
        <family val="2"/>
      </rPr>
      <t xml:space="preserve">決策變數 </t>
    </r>
    <r>
      <rPr>
        <b val="true"/>
        <sz val="11"/>
        <color rgb="FF000000"/>
        <rFont val="Arial"/>
        <family val="0"/>
        <charset val="1"/>
      </rPr>
      <t xml:space="preserve">x[i,j]</t>
    </r>
    <r>
      <rPr>
        <b val="true"/>
        <sz val="11"/>
        <color rgb="FF000000"/>
        <rFont val="Noto Sans CJK SC"/>
        <family val="2"/>
      </rPr>
      <t xml:space="preserve">（</t>
    </r>
    <r>
      <rPr>
        <b val="true"/>
        <sz val="11"/>
        <color rgb="FF000000"/>
        <rFont val="Arial"/>
        <family val="0"/>
        <charset val="1"/>
      </rPr>
      <t xml:space="preserve">0/1</t>
    </r>
    <r>
      <rPr>
        <b val="true"/>
        <sz val="11"/>
        <color rgb="FF000000"/>
        <rFont val="Noto Sans CJK SC"/>
        <family val="2"/>
      </rPr>
      <t xml:space="preserve">）</t>
    </r>
  </si>
  <si>
    <r>
      <rPr>
        <b val="true"/>
        <sz val="11"/>
        <color rgb="FF000000"/>
        <rFont val="Noto Sans CJK SC"/>
        <family val="2"/>
      </rPr>
      <t xml:space="preserve">列總數</t>
    </r>
    <r>
      <rPr>
        <b val="true"/>
        <sz val="11"/>
        <color rgb="FF000000"/>
        <rFont val="Arial"/>
        <family val="0"/>
        <charset val="1"/>
      </rPr>
      <t xml:space="preserve">(=1)</t>
    </r>
  </si>
  <si>
    <r>
      <rPr>
        <b val="true"/>
        <sz val="11"/>
        <color rgb="FF000000"/>
        <rFont val="Noto Sans CJK SC"/>
        <family val="2"/>
      </rPr>
      <t xml:space="preserve">欄總數</t>
    </r>
    <r>
      <rPr>
        <b val="true"/>
        <sz val="11"/>
        <color rgb="FF000000"/>
        <rFont val="Arial"/>
        <family val="0"/>
        <charset val="1"/>
      </rPr>
      <t xml:space="preserve">(=1)</t>
    </r>
  </si>
  <si>
    <t xml:space="preserve">目標式：總工時</t>
  </si>
  <si>
    <t xml:space="preserve">延伸練習一：單機排程比較（通信裝備維修站）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</si>
  <si>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A5:D11</t>
    </r>
    <r>
      <rPr>
        <i val="true"/>
        <sz val="9"/>
        <color rgb="FF666666"/>
        <rFont val="Noto Sans CJK SC"/>
        <family val="2"/>
      </rPr>
      <t xml:space="preserve">為基礎資料；下方三個區塊分別依</t>
    </r>
    <r>
      <rPr>
        <i val="true"/>
        <sz val="9"/>
        <color rgb="FF666666"/>
        <rFont val="Arial"/>
        <family val="0"/>
        <charset val="1"/>
      </rPr>
      <t xml:space="preserve">FCFS/SPT/EDD</t>
    </r>
    <r>
      <rPr>
        <i val="true"/>
        <sz val="9"/>
        <color rgb="FF666666"/>
        <rFont val="Noto Sans CJK SC"/>
        <family val="2"/>
      </rPr>
      <t xml:space="preserve">排序計算績效指標。</t>
    </r>
  </si>
  <si>
    <t xml:space="preserve">P</t>
  </si>
  <si>
    <t xml:space="preserve">R</t>
  </si>
  <si>
    <t xml:space="preserve">Q</t>
  </si>
  <si>
    <t xml:space="preserve">T</t>
  </si>
  <si>
    <t xml:space="preserve">S</t>
  </si>
  <si>
    <t xml:space="preserve">U</t>
  </si>
  <si>
    <r>
      <rPr>
        <b val="true"/>
        <sz val="14"/>
        <rFont val="Noto Sans CJK SC"/>
        <family val="2"/>
      </rPr>
      <t xml:space="preserve">延伸練習二：匈牙利法（</t>
    </r>
    <r>
      <rPr>
        <b val="true"/>
        <sz val="14"/>
        <rFont val="Arial"/>
        <family val="0"/>
        <charset val="1"/>
      </rPr>
      <t xml:space="preserve">3x3</t>
    </r>
    <r>
      <rPr>
        <b val="true"/>
        <sz val="14"/>
        <rFont val="Noto Sans CJK SC"/>
        <family val="2"/>
      </rPr>
      <t xml:space="preserve">，技師檢測任務）</t>
    </r>
  </si>
  <si>
    <t xml:space="preserve">說明：計算列縮減與行縮減後矩陣，判斷是否可直接找出完整指派。</t>
  </si>
  <si>
    <t xml:space="preserve">技師甲</t>
  </si>
  <si>
    <t xml:space="preserve">技師乙</t>
  </si>
  <si>
    <t xml:space="preserve">技師丙</t>
  </si>
  <si>
    <t xml:space="preserve">列縮減後矩陣</t>
  </si>
  <si>
    <t xml:space="preserve">行縮減後矩陣</t>
  </si>
  <si>
    <r>
      <rPr>
        <sz val="11"/>
        <color theme="1"/>
        <rFont val="Noto Sans CJK SC"/>
        <family val="2"/>
      </rPr>
      <t xml:space="preserve">最佳指派：技師甲→任務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、技師乙→任務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、技師丙→任務</t>
    </r>
    <r>
      <rPr>
        <sz val="11"/>
        <color theme="1"/>
        <rFont val="Calibri"/>
        <family val="2"/>
        <charset val="1"/>
      </rPr>
      <t xml:space="preserve">2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</si>
</sst>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約翰遜法則甘特圖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02_約翰遜法則_塢修排程!J11</c:f>
              <c:strCache>
                <c:ptCount val="1"/>
                <c:pt idx="0">
                  <c:v>M1開始(透明)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02_約翰遜法則_塢修排程!$B$12:$B$17</c:f>
              <c:strCache>
                <c:ptCount val="6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</c:strCache>
            </c:strRef>
          </c:cat>
          <c:val>
            <c:numRef>
              <c:f>02_約翰遜法則_塢修排程!$J$12:$J$17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13</c:v>
                </c:pt>
                <c:pt idx="4">
                  <c:v>19</c:v>
                </c:pt>
                <c:pt idx="5">
                  <c:v>29</c:v>
                </c:pt>
              </c:numCache>
            </c:numRef>
          </c:val>
        </c:ser>
        <c:ser>
          <c:idx val="1"/>
          <c:order val="1"/>
          <c:tx>
            <c:strRef>
              <c:f>02_約翰遜法則_塢修排程!K11</c:f>
              <c:strCache>
                <c:ptCount val="1"/>
                <c:pt idx="0">
                  <c:v>M1時長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02_約翰遜法則_塢修排程!$B$12:$B$17</c:f>
              <c:strCache>
                <c:ptCount val="6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</c:strCache>
            </c:strRef>
          </c:cat>
          <c:val>
            <c:numRef>
              <c:f>02_約翰遜法則_塢修排程!$K$12:$K$17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02_約翰遜法則_塢修排程!L11</c:f>
              <c:strCache>
                <c:ptCount val="1"/>
                <c:pt idx="0">
                  <c:v>M2開始(透明)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02_約翰遜法則_塢修排程!$B$12:$B$17</c:f>
              <c:strCache>
                <c:ptCount val="6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</c:strCache>
            </c:strRef>
          </c:cat>
          <c:val>
            <c:numRef>
              <c:f>02_約翰遜法則_塢修排程!$L$12:$L$17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15</c:v>
                </c:pt>
                <c:pt idx="3">
                  <c:v>22</c:v>
                </c:pt>
                <c:pt idx="4">
                  <c:v>29</c:v>
                </c:pt>
                <c:pt idx="5">
                  <c:v>34</c:v>
                </c:pt>
              </c:numCache>
            </c:numRef>
          </c:val>
        </c:ser>
        <c:ser>
          <c:idx val="3"/>
          <c:order val="3"/>
          <c:tx>
            <c:strRef>
              <c:f>02_約翰遜法則_塢修排程!M11</c:f>
              <c:strCache>
                <c:ptCount val="1"/>
                <c:pt idx="0">
                  <c:v>M2時長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02_約翰遜法則_塢修排程!$B$12:$B$17</c:f>
              <c:strCache>
                <c:ptCount val="6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</c:strCache>
            </c:strRef>
          </c:cat>
          <c:val>
            <c:numRef>
              <c:f>02_約翰遜法則_塢修排程!$M$12:$M$17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</c:ser>
        <c:gapWidth val="150"/>
        <c:overlap val="100"/>
        <c:axId val="72935870"/>
        <c:axId val="97504285"/>
      </c:barChart>
      <c:catAx>
        <c:axId val="729358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04285"/>
        <c:crosses val="autoZero"/>
        <c:auto val="1"/>
        <c:lblAlgn val="ctr"/>
        <c:lblOffset val="100"/>
        <c:noMultiLvlLbl val="0"/>
      </c:catAx>
      <c:valAx>
        <c:axId val="97504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35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-720</xdr:rowOff>
    </xdr:from>
    <xdr:to>
      <xdr:col>8</xdr:col>
      <xdr:colOff>395280</xdr:colOff>
      <xdr:row>25</xdr:row>
      <xdr:rowOff>4680</xdr:rowOff>
    </xdr:to>
    <xdr:graphicFrame>
      <xdr:nvGraphicFramePr>
        <xdr:cNvPr id="0" name="Chart 1"/>
        <xdr:cNvGraphicFramePr/>
      </xdr:nvGraphicFramePr>
      <xdr:xfrm>
        <a:off x="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7.1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17.15" hidden="false" customHeight="false" outlineLevel="0" collapsed="false">
      <c r="A6" s="4" t="s">
        <v>8</v>
      </c>
      <c r="B6" s="4" t="s">
        <v>9</v>
      </c>
      <c r="C6" s="5" t="s">
        <v>10</v>
      </c>
    </row>
    <row r="7" customFormat="false" ht="17.15" hidden="false" customHeight="false" outlineLevel="0" collapsed="false">
      <c r="A7" s="4" t="s">
        <v>11</v>
      </c>
      <c r="B7" s="4" t="s">
        <v>12</v>
      </c>
      <c r="C7" s="6" t="s">
        <v>13</v>
      </c>
    </row>
    <row r="8" customFormat="false" ht="17.15" hidden="false" customHeight="false" outlineLevel="0" collapsed="false">
      <c r="A8" s="4" t="s">
        <v>14</v>
      </c>
      <c r="B8" s="4" t="s">
        <v>15</v>
      </c>
      <c r="C8" s="5" t="s">
        <v>16</v>
      </c>
    </row>
    <row r="9" customFormat="false" ht="17.15" hidden="false" customHeight="false" outlineLevel="0" collapsed="false">
      <c r="A9" s="4" t="s">
        <v>17</v>
      </c>
      <c r="B9" s="4" t="s">
        <v>18</v>
      </c>
      <c r="C9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7" min="6" style="0" width="6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3"/>
    <col collapsed="false" customWidth="true" hidden="false" outlineLevel="0" max="12" min="12" style="0" width="7"/>
    <col collapsed="false" customWidth="true" hidden="false" outlineLevel="0" max="14" min="13" style="0" width="6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3"/>
    <col collapsed="false" customWidth="true" hidden="false" outlineLevel="0" max="19" min="19" style="0" width="7"/>
    <col collapsed="false" customWidth="true" hidden="false" outlineLevel="0" max="21" min="20" style="0" width="6"/>
    <col collapsed="false" customWidth="true" hidden="false" outlineLevel="0" max="22" min="22" style="0" width="9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3"/>
    <col collapsed="false" customWidth="true" hidden="false" outlineLevel="0" max="26" min="26" style="0" width="7"/>
    <col collapsed="false" customWidth="true" hidden="false" outlineLevel="0" max="28" min="27" style="0" width="6"/>
    <col collapsed="false" customWidth="true" hidden="false" outlineLevel="0" max="29" min="29" style="0" width="9"/>
    <col collapsed="false" customWidth="true" hidden="false" outlineLevel="0" max="30" min="30" style="0" width="7"/>
    <col collapsed="false" customWidth="true" hidden="false" outlineLevel="0" max="31" min="31" style="0" width="8"/>
    <col collapsed="false" customWidth="true" hidden="false" outlineLevel="0" max="32" min="32" style="0" width="3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3" customFormat="false" ht="17.15" hidden="false" customHeight="false" outlineLevel="0" collapsed="false">
      <c r="F3" s="7" t="s">
        <v>22</v>
      </c>
      <c r="M3" s="7" t="s">
        <v>23</v>
      </c>
      <c r="T3" s="7" t="s">
        <v>24</v>
      </c>
      <c r="AA3" s="7" t="s">
        <v>25</v>
      </c>
    </row>
    <row r="4" customFormat="false" ht="64.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F4" s="3" t="s">
        <v>26</v>
      </c>
      <c r="G4" s="8" t="s">
        <v>30</v>
      </c>
      <c r="H4" s="8" t="s">
        <v>31</v>
      </c>
      <c r="I4" s="3" t="s">
        <v>32</v>
      </c>
      <c r="J4" s="3" t="s">
        <v>33</v>
      </c>
      <c r="K4" s="3" t="s">
        <v>34</v>
      </c>
      <c r="M4" s="3" t="s">
        <v>26</v>
      </c>
      <c r="N4" s="8" t="s">
        <v>30</v>
      </c>
      <c r="O4" s="8" t="s">
        <v>31</v>
      </c>
      <c r="P4" s="3" t="s">
        <v>32</v>
      </c>
      <c r="Q4" s="3" t="s">
        <v>33</v>
      </c>
      <c r="R4" s="3" t="s">
        <v>34</v>
      </c>
      <c r="T4" s="3" t="s">
        <v>26</v>
      </c>
      <c r="U4" s="8" t="s">
        <v>30</v>
      </c>
      <c r="V4" s="8" t="s">
        <v>31</v>
      </c>
      <c r="W4" s="3" t="s">
        <v>32</v>
      </c>
      <c r="X4" s="3" t="s">
        <v>33</v>
      </c>
      <c r="Y4" s="3" t="s">
        <v>34</v>
      </c>
      <c r="AA4" s="3" t="s">
        <v>26</v>
      </c>
      <c r="AB4" s="8" t="s">
        <v>30</v>
      </c>
      <c r="AC4" s="8" t="s">
        <v>31</v>
      </c>
      <c r="AD4" s="3" t="s">
        <v>32</v>
      </c>
      <c r="AE4" s="3" t="s">
        <v>33</v>
      </c>
      <c r="AF4" s="3" t="s">
        <v>34</v>
      </c>
    </row>
    <row r="5" customFormat="false" ht="15" hidden="false" customHeight="false" outlineLevel="0" collapsed="false">
      <c r="A5" s="9" t="s">
        <v>35</v>
      </c>
      <c r="B5" s="10" t="n">
        <v>1</v>
      </c>
      <c r="C5" s="10" t="n">
        <v>4</v>
      </c>
      <c r="D5" s="10" t="n">
        <v>8</v>
      </c>
      <c r="F5" s="9" t="s">
        <v>35</v>
      </c>
      <c r="G5" s="11" t="n">
        <f aca="false">VLOOKUP(F5,$A$5:$D$11,3,0)</f>
        <v>4</v>
      </c>
      <c r="H5" s="11" t="n">
        <f aca="false">VLOOKUP(F5,$A$5:$D$11,4,0)</f>
        <v>8</v>
      </c>
      <c r="I5" s="11" t="n">
        <f aca="false">G5</f>
        <v>4</v>
      </c>
      <c r="J5" s="11" t="n">
        <f aca="false">I5-H5</f>
        <v>-4</v>
      </c>
      <c r="K5" s="11" t="n">
        <f aca="false">MAX(0,J5)</f>
        <v>0</v>
      </c>
      <c r="M5" s="9" t="s">
        <v>36</v>
      </c>
      <c r="N5" s="11" t="n">
        <f aca="false">VLOOKUP(M5,$A$5:$D$11,3,0)</f>
        <v>1</v>
      </c>
      <c r="O5" s="11" t="n">
        <f aca="false">VLOOKUP(M5,$A$5:$D$11,4,0)</f>
        <v>5</v>
      </c>
      <c r="P5" s="11" t="n">
        <f aca="false">N5</f>
        <v>1</v>
      </c>
      <c r="Q5" s="11" t="n">
        <f aca="false">P5-O5</f>
        <v>-4</v>
      </c>
      <c r="R5" s="11" t="n">
        <f aca="false">MAX(0,Q5)</f>
        <v>0</v>
      </c>
      <c r="T5" s="9" t="s">
        <v>36</v>
      </c>
      <c r="U5" s="11" t="n">
        <f aca="false">VLOOKUP(T5,$A$5:$D$11,3,0)</f>
        <v>1</v>
      </c>
      <c r="V5" s="11" t="n">
        <f aca="false">VLOOKUP(T5,$A$5:$D$11,4,0)</f>
        <v>5</v>
      </c>
      <c r="W5" s="11" t="n">
        <f aca="false">U5</f>
        <v>1</v>
      </c>
      <c r="X5" s="11" t="n">
        <f aca="false">W5-V5</f>
        <v>-4</v>
      </c>
      <c r="Y5" s="11" t="n">
        <f aca="false">MAX(0,X5)</f>
        <v>0</v>
      </c>
      <c r="AA5" s="9" t="s">
        <v>37</v>
      </c>
      <c r="AB5" s="11" t="n">
        <f aca="false">VLOOKUP(AA5,$A$5:$D$11,3,0)</f>
        <v>5</v>
      </c>
      <c r="AC5" s="11" t="n">
        <f aca="false">VLOOKUP(AA5,$A$5:$D$11,4,0)</f>
        <v>9</v>
      </c>
      <c r="AD5" s="11" t="n">
        <f aca="false">AB5</f>
        <v>5</v>
      </c>
      <c r="AE5" s="11" t="n">
        <f aca="false">AD5-AC5</f>
        <v>-4</v>
      </c>
      <c r="AF5" s="11" t="n">
        <f aca="false">MAX(0,AE5)</f>
        <v>0</v>
      </c>
    </row>
    <row r="6" customFormat="false" ht="15" hidden="false" customHeight="false" outlineLevel="0" collapsed="false">
      <c r="A6" s="9" t="s">
        <v>38</v>
      </c>
      <c r="B6" s="10" t="n">
        <v>2</v>
      </c>
      <c r="C6" s="10" t="n">
        <v>7</v>
      </c>
      <c r="D6" s="10" t="n">
        <v>15</v>
      </c>
      <c r="F6" s="9" t="s">
        <v>38</v>
      </c>
      <c r="G6" s="11" t="n">
        <f aca="false">VLOOKUP(F6,$A$5:$D$11,3,0)</f>
        <v>7</v>
      </c>
      <c r="H6" s="11" t="n">
        <f aca="false">VLOOKUP(F6,$A$5:$D$11,4,0)</f>
        <v>15</v>
      </c>
      <c r="I6" s="11" t="n">
        <f aca="false">I5+G6</f>
        <v>11</v>
      </c>
      <c r="J6" s="11" t="n">
        <f aca="false">I6-H6</f>
        <v>-4</v>
      </c>
      <c r="K6" s="11" t="n">
        <f aca="false">MAX(0,J6)</f>
        <v>0</v>
      </c>
      <c r="M6" s="9" t="s">
        <v>39</v>
      </c>
      <c r="N6" s="11" t="n">
        <f aca="false">VLOOKUP(M6,$A$5:$D$11,3,0)</f>
        <v>2</v>
      </c>
      <c r="O6" s="11" t="n">
        <f aca="false">VLOOKUP(M6,$A$5:$D$11,4,0)</f>
        <v>6</v>
      </c>
      <c r="P6" s="11" t="n">
        <f aca="false">P5+N6</f>
        <v>3</v>
      </c>
      <c r="Q6" s="11" t="n">
        <f aca="false">P6-O6</f>
        <v>-3</v>
      </c>
      <c r="R6" s="11" t="n">
        <f aca="false">MAX(0,Q6)</f>
        <v>0</v>
      </c>
      <c r="T6" s="9" t="s">
        <v>39</v>
      </c>
      <c r="U6" s="11" t="n">
        <f aca="false">VLOOKUP(T6,$A$5:$D$11,3,0)</f>
        <v>2</v>
      </c>
      <c r="V6" s="11" t="n">
        <f aca="false">VLOOKUP(T6,$A$5:$D$11,4,0)</f>
        <v>6</v>
      </c>
      <c r="W6" s="11" t="n">
        <f aca="false">W5+U6</f>
        <v>3</v>
      </c>
      <c r="X6" s="11" t="n">
        <f aca="false">W6-V6</f>
        <v>-3</v>
      </c>
      <c r="Y6" s="11" t="n">
        <f aca="false">MAX(0,X6)</f>
        <v>0</v>
      </c>
      <c r="AA6" s="9" t="s">
        <v>35</v>
      </c>
      <c r="AB6" s="11" t="n">
        <f aca="false">VLOOKUP(AA6,$A$5:$D$11,3,0)</f>
        <v>4</v>
      </c>
      <c r="AC6" s="11" t="n">
        <f aca="false">VLOOKUP(AA6,$A$5:$D$11,4,0)</f>
        <v>8</v>
      </c>
      <c r="AD6" s="11" t="n">
        <f aca="false">AD5+AB6</f>
        <v>9</v>
      </c>
      <c r="AE6" s="11" t="n">
        <f aca="false">AD6-AC6</f>
        <v>1</v>
      </c>
      <c r="AF6" s="11" t="n">
        <f aca="false">MAX(0,AE6)</f>
        <v>1</v>
      </c>
    </row>
    <row r="7" customFormat="false" ht="15" hidden="false" customHeight="false" outlineLevel="0" collapsed="false">
      <c r="A7" s="9" t="s">
        <v>39</v>
      </c>
      <c r="B7" s="10" t="n">
        <v>3</v>
      </c>
      <c r="C7" s="10" t="n">
        <v>2</v>
      </c>
      <c r="D7" s="10" t="n">
        <v>6</v>
      </c>
      <c r="F7" s="9" t="s">
        <v>39</v>
      </c>
      <c r="G7" s="11" t="n">
        <f aca="false">VLOOKUP(F7,$A$5:$D$11,3,0)</f>
        <v>2</v>
      </c>
      <c r="H7" s="11" t="n">
        <f aca="false">VLOOKUP(F7,$A$5:$D$11,4,0)</f>
        <v>6</v>
      </c>
      <c r="I7" s="11" t="n">
        <f aca="false">I6+G7</f>
        <v>13</v>
      </c>
      <c r="J7" s="11" t="n">
        <f aca="false">I7-H7</f>
        <v>7</v>
      </c>
      <c r="K7" s="11" t="n">
        <f aca="false">MAX(0,J7)</f>
        <v>7</v>
      </c>
      <c r="M7" s="9" t="s">
        <v>40</v>
      </c>
      <c r="N7" s="11" t="n">
        <f aca="false">VLOOKUP(M7,$A$5:$D$11,3,0)</f>
        <v>3</v>
      </c>
      <c r="O7" s="11" t="n">
        <f aca="false">VLOOKUP(M7,$A$5:$D$11,4,0)</f>
        <v>12</v>
      </c>
      <c r="P7" s="11" t="n">
        <f aca="false">P6+N7</f>
        <v>6</v>
      </c>
      <c r="Q7" s="11" t="n">
        <f aca="false">P7-O7</f>
        <v>-6</v>
      </c>
      <c r="R7" s="11" t="n">
        <f aca="false">MAX(0,Q7)</f>
        <v>0</v>
      </c>
      <c r="T7" s="9" t="s">
        <v>35</v>
      </c>
      <c r="U7" s="11" t="n">
        <f aca="false">VLOOKUP(T7,$A$5:$D$11,3,0)</f>
        <v>4</v>
      </c>
      <c r="V7" s="11" t="n">
        <f aca="false">VLOOKUP(T7,$A$5:$D$11,4,0)</f>
        <v>8</v>
      </c>
      <c r="W7" s="11" t="n">
        <f aca="false">W6+U7</f>
        <v>7</v>
      </c>
      <c r="X7" s="11" t="n">
        <f aca="false">W7-V7</f>
        <v>-1</v>
      </c>
      <c r="Y7" s="11" t="n">
        <f aca="false">MAX(0,X7)</f>
        <v>0</v>
      </c>
      <c r="AA7" s="9" t="s">
        <v>38</v>
      </c>
      <c r="AB7" s="11" t="n">
        <f aca="false">VLOOKUP(AA7,$A$5:$D$11,3,0)</f>
        <v>7</v>
      </c>
      <c r="AC7" s="11" t="n">
        <f aca="false">VLOOKUP(AA7,$A$5:$D$11,4,0)</f>
        <v>15</v>
      </c>
      <c r="AD7" s="11" t="n">
        <f aca="false">AD6+AB7</f>
        <v>16</v>
      </c>
      <c r="AE7" s="11" t="n">
        <f aca="false">AD7-AC7</f>
        <v>1</v>
      </c>
      <c r="AF7" s="11" t="n">
        <f aca="false">MAX(0,AE7)</f>
        <v>1</v>
      </c>
    </row>
    <row r="8" customFormat="false" ht="15" hidden="false" customHeight="false" outlineLevel="0" collapsed="false">
      <c r="A8" s="9" t="s">
        <v>37</v>
      </c>
      <c r="B8" s="10" t="n">
        <v>4</v>
      </c>
      <c r="C8" s="10" t="n">
        <v>5</v>
      </c>
      <c r="D8" s="10" t="n">
        <v>9</v>
      </c>
      <c r="F8" s="9" t="s">
        <v>37</v>
      </c>
      <c r="G8" s="11" t="n">
        <f aca="false">VLOOKUP(F8,$A$5:$D$11,3,0)</f>
        <v>5</v>
      </c>
      <c r="H8" s="11" t="n">
        <f aca="false">VLOOKUP(F8,$A$5:$D$11,4,0)</f>
        <v>9</v>
      </c>
      <c r="I8" s="11" t="n">
        <f aca="false">I7+G8</f>
        <v>18</v>
      </c>
      <c r="J8" s="11" t="n">
        <f aca="false">I8-H8</f>
        <v>9</v>
      </c>
      <c r="K8" s="11" t="n">
        <f aca="false">MAX(0,J8)</f>
        <v>9</v>
      </c>
      <c r="M8" s="9" t="s">
        <v>35</v>
      </c>
      <c r="N8" s="11" t="n">
        <f aca="false">VLOOKUP(M8,$A$5:$D$11,3,0)</f>
        <v>4</v>
      </c>
      <c r="O8" s="11" t="n">
        <f aca="false">VLOOKUP(M8,$A$5:$D$11,4,0)</f>
        <v>8</v>
      </c>
      <c r="P8" s="11" t="n">
        <f aca="false">P7+N8</f>
        <v>10</v>
      </c>
      <c r="Q8" s="11" t="n">
        <f aca="false">P8-O8</f>
        <v>2</v>
      </c>
      <c r="R8" s="11" t="n">
        <f aca="false">MAX(0,Q8)</f>
        <v>2</v>
      </c>
      <c r="T8" s="9" t="s">
        <v>37</v>
      </c>
      <c r="U8" s="11" t="n">
        <f aca="false">VLOOKUP(T8,$A$5:$D$11,3,0)</f>
        <v>5</v>
      </c>
      <c r="V8" s="11" t="n">
        <f aca="false">VLOOKUP(T8,$A$5:$D$11,4,0)</f>
        <v>9</v>
      </c>
      <c r="W8" s="11" t="n">
        <f aca="false">W7+U8</f>
        <v>12</v>
      </c>
      <c r="X8" s="11" t="n">
        <f aca="false">W8-V8</f>
        <v>3</v>
      </c>
      <c r="Y8" s="11" t="n">
        <f aca="false">MAX(0,X8)</f>
        <v>3</v>
      </c>
      <c r="AA8" s="9" t="s">
        <v>39</v>
      </c>
      <c r="AB8" s="11" t="n">
        <f aca="false">VLOOKUP(AA8,$A$5:$D$11,3,0)</f>
        <v>2</v>
      </c>
      <c r="AC8" s="11" t="n">
        <f aca="false">VLOOKUP(AA8,$A$5:$D$11,4,0)</f>
        <v>6</v>
      </c>
      <c r="AD8" s="11" t="n">
        <f aca="false">AD7+AB8</f>
        <v>18</v>
      </c>
      <c r="AE8" s="11" t="n">
        <f aca="false">AD8-AC8</f>
        <v>12</v>
      </c>
      <c r="AF8" s="11" t="n">
        <f aca="false">MAX(0,AE8)</f>
        <v>12</v>
      </c>
    </row>
    <row r="9" customFormat="false" ht="15" hidden="false" customHeight="false" outlineLevel="0" collapsed="false">
      <c r="A9" s="9" t="s">
        <v>40</v>
      </c>
      <c r="B9" s="10" t="n">
        <v>5</v>
      </c>
      <c r="C9" s="10" t="n">
        <v>3</v>
      </c>
      <c r="D9" s="10" t="n">
        <v>12</v>
      </c>
      <c r="F9" s="9" t="s">
        <v>40</v>
      </c>
      <c r="G9" s="11" t="n">
        <f aca="false">VLOOKUP(F9,$A$5:$D$11,3,0)</f>
        <v>3</v>
      </c>
      <c r="H9" s="11" t="n">
        <f aca="false">VLOOKUP(F9,$A$5:$D$11,4,0)</f>
        <v>12</v>
      </c>
      <c r="I9" s="11" t="n">
        <f aca="false">I8+G9</f>
        <v>21</v>
      </c>
      <c r="J9" s="11" t="n">
        <f aca="false">I9-H9</f>
        <v>9</v>
      </c>
      <c r="K9" s="11" t="n">
        <f aca="false">MAX(0,J9)</f>
        <v>9</v>
      </c>
      <c r="M9" s="9" t="s">
        <v>37</v>
      </c>
      <c r="N9" s="11" t="n">
        <f aca="false">VLOOKUP(M9,$A$5:$D$11,3,0)</f>
        <v>5</v>
      </c>
      <c r="O9" s="11" t="n">
        <f aca="false">VLOOKUP(M9,$A$5:$D$11,4,0)</f>
        <v>9</v>
      </c>
      <c r="P9" s="11" t="n">
        <f aca="false">P8+N9</f>
        <v>15</v>
      </c>
      <c r="Q9" s="11" t="n">
        <f aca="false">P9-O9</f>
        <v>6</v>
      </c>
      <c r="R9" s="11" t="n">
        <f aca="false">MAX(0,Q9)</f>
        <v>6</v>
      </c>
      <c r="T9" s="9" t="s">
        <v>40</v>
      </c>
      <c r="U9" s="11" t="n">
        <f aca="false">VLOOKUP(T9,$A$5:$D$11,3,0)</f>
        <v>3</v>
      </c>
      <c r="V9" s="11" t="n">
        <f aca="false">VLOOKUP(T9,$A$5:$D$11,4,0)</f>
        <v>12</v>
      </c>
      <c r="W9" s="11" t="n">
        <f aca="false">W8+U9</f>
        <v>15</v>
      </c>
      <c r="X9" s="11" t="n">
        <f aca="false">W9-V9</f>
        <v>3</v>
      </c>
      <c r="Y9" s="11" t="n">
        <f aca="false">MAX(0,X9)</f>
        <v>3</v>
      </c>
      <c r="AA9" s="9" t="s">
        <v>41</v>
      </c>
      <c r="AB9" s="11" t="n">
        <f aca="false">VLOOKUP(AA9,$A$5:$D$11,3,0)</f>
        <v>6</v>
      </c>
      <c r="AC9" s="11" t="n">
        <f aca="false">VLOOKUP(AA9,$A$5:$D$11,4,0)</f>
        <v>18</v>
      </c>
      <c r="AD9" s="11" t="n">
        <f aca="false">AD8+AB9</f>
        <v>24</v>
      </c>
      <c r="AE9" s="11" t="n">
        <f aca="false">AD9-AC9</f>
        <v>6</v>
      </c>
      <c r="AF9" s="11" t="n">
        <f aca="false">MAX(0,AE9)</f>
        <v>6</v>
      </c>
    </row>
    <row r="10" customFormat="false" ht="15" hidden="false" customHeight="false" outlineLevel="0" collapsed="false">
      <c r="A10" s="9" t="s">
        <v>41</v>
      </c>
      <c r="B10" s="10" t="n">
        <v>6</v>
      </c>
      <c r="C10" s="10" t="n">
        <v>6</v>
      </c>
      <c r="D10" s="10" t="n">
        <v>18</v>
      </c>
      <c r="F10" s="9" t="s">
        <v>41</v>
      </c>
      <c r="G10" s="11" t="n">
        <f aca="false">VLOOKUP(F10,$A$5:$D$11,3,0)</f>
        <v>6</v>
      </c>
      <c r="H10" s="11" t="n">
        <f aca="false">VLOOKUP(F10,$A$5:$D$11,4,0)</f>
        <v>18</v>
      </c>
      <c r="I10" s="11" t="n">
        <f aca="false">I9+G10</f>
        <v>27</v>
      </c>
      <c r="J10" s="11" t="n">
        <f aca="false">I10-H10</f>
        <v>9</v>
      </c>
      <c r="K10" s="11" t="n">
        <f aca="false">MAX(0,J10)</f>
        <v>9</v>
      </c>
      <c r="M10" s="9" t="s">
        <v>41</v>
      </c>
      <c r="N10" s="11" t="n">
        <f aca="false">VLOOKUP(M10,$A$5:$D$11,3,0)</f>
        <v>6</v>
      </c>
      <c r="O10" s="11" t="n">
        <f aca="false">VLOOKUP(M10,$A$5:$D$11,4,0)</f>
        <v>18</v>
      </c>
      <c r="P10" s="11" t="n">
        <f aca="false">P9+N10</f>
        <v>21</v>
      </c>
      <c r="Q10" s="11" t="n">
        <f aca="false">P10-O10</f>
        <v>3</v>
      </c>
      <c r="R10" s="11" t="n">
        <f aca="false">MAX(0,Q10)</f>
        <v>3</v>
      </c>
      <c r="T10" s="9" t="s">
        <v>38</v>
      </c>
      <c r="U10" s="11" t="n">
        <f aca="false">VLOOKUP(T10,$A$5:$D$11,3,0)</f>
        <v>7</v>
      </c>
      <c r="V10" s="11" t="n">
        <f aca="false">VLOOKUP(T10,$A$5:$D$11,4,0)</f>
        <v>15</v>
      </c>
      <c r="W10" s="11" t="n">
        <f aca="false">W9+U10</f>
        <v>22</v>
      </c>
      <c r="X10" s="11" t="n">
        <f aca="false">W10-V10</f>
        <v>7</v>
      </c>
      <c r="Y10" s="11" t="n">
        <f aca="false">MAX(0,X10)</f>
        <v>7</v>
      </c>
      <c r="AA10" s="9" t="s">
        <v>40</v>
      </c>
      <c r="AB10" s="11" t="n">
        <f aca="false">VLOOKUP(AA10,$A$5:$D$11,3,0)</f>
        <v>3</v>
      </c>
      <c r="AC10" s="11" t="n">
        <f aca="false">VLOOKUP(AA10,$A$5:$D$11,4,0)</f>
        <v>12</v>
      </c>
      <c r="AD10" s="11" t="n">
        <f aca="false">AD9+AB10</f>
        <v>27</v>
      </c>
      <c r="AE10" s="11" t="n">
        <f aca="false">AD10-AC10</f>
        <v>15</v>
      </c>
      <c r="AF10" s="11" t="n">
        <f aca="false">MAX(0,AE10)</f>
        <v>15</v>
      </c>
    </row>
    <row r="11" customFormat="false" ht="15" hidden="false" customHeight="false" outlineLevel="0" collapsed="false">
      <c r="A11" s="9" t="s">
        <v>36</v>
      </c>
      <c r="B11" s="10" t="n">
        <v>7</v>
      </c>
      <c r="C11" s="10" t="n">
        <v>1</v>
      </c>
      <c r="D11" s="10" t="n">
        <v>5</v>
      </c>
      <c r="F11" s="9" t="s">
        <v>36</v>
      </c>
      <c r="G11" s="11" t="n">
        <f aca="false">VLOOKUP(F11,$A$5:$D$11,3,0)</f>
        <v>1</v>
      </c>
      <c r="H11" s="11" t="n">
        <f aca="false">VLOOKUP(F11,$A$5:$D$11,4,0)</f>
        <v>5</v>
      </c>
      <c r="I11" s="11" t="n">
        <f aca="false">I10+G11</f>
        <v>28</v>
      </c>
      <c r="J11" s="11" t="n">
        <f aca="false">I11-H11</f>
        <v>23</v>
      </c>
      <c r="K11" s="11" t="n">
        <f aca="false">MAX(0,J11)</f>
        <v>23</v>
      </c>
      <c r="M11" s="9" t="s">
        <v>38</v>
      </c>
      <c r="N11" s="11" t="n">
        <f aca="false">VLOOKUP(M11,$A$5:$D$11,3,0)</f>
        <v>7</v>
      </c>
      <c r="O11" s="11" t="n">
        <f aca="false">VLOOKUP(M11,$A$5:$D$11,4,0)</f>
        <v>15</v>
      </c>
      <c r="P11" s="11" t="n">
        <f aca="false">P10+N11</f>
        <v>28</v>
      </c>
      <c r="Q11" s="11" t="n">
        <f aca="false">P11-O11</f>
        <v>13</v>
      </c>
      <c r="R11" s="11" t="n">
        <f aca="false">MAX(0,Q11)</f>
        <v>13</v>
      </c>
      <c r="T11" s="9" t="s">
        <v>41</v>
      </c>
      <c r="U11" s="11" t="n">
        <f aca="false">VLOOKUP(T11,$A$5:$D$11,3,0)</f>
        <v>6</v>
      </c>
      <c r="V11" s="11" t="n">
        <f aca="false">VLOOKUP(T11,$A$5:$D$11,4,0)</f>
        <v>18</v>
      </c>
      <c r="W11" s="11" t="n">
        <f aca="false">W10+U11</f>
        <v>28</v>
      </c>
      <c r="X11" s="11" t="n">
        <f aca="false">W11-V11</f>
        <v>10</v>
      </c>
      <c r="Y11" s="11" t="n">
        <f aca="false">MAX(0,X11)</f>
        <v>10</v>
      </c>
      <c r="AA11" s="9" t="s">
        <v>36</v>
      </c>
      <c r="AB11" s="11" t="n">
        <f aca="false">VLOOKUP(AA11,$A$5:$D$11,3,0)</f>
        <v>1</v>
      </c>
      <c r="AC11" s="11" t="n">
        <f aca="false">VLOOKUP(AA11,$A$5:$D$11,4,0)</f>
        <v>5</v>
      </c>
      <c r="AD11" s="11" t="n">
        <f aca="false">AD10+AB11</f>
        <v>28</v>
      </c>
      <c r="AE11" s="11" t="n">
        <f aca="false">AD11-AC11</f>
        <v>23</v>
      </c>
      <c r="AF11" s="11" t="n">
        <f aca="false">MAX(0,AE11)</f>
        <v>23</v>
      </c>
    </row>
    <row r="13" customFormat="false" ht="15" hidden="false" customHeight="false" outlineLevel="0" collapsed="false">
      <c r="F13" s="12" t="s">
        <v>42</v>
      </c>
      <c r="I13" s="11" t="n">
        <f aca="false">AVERAGE(I5:I11)</f>
        <v>17.4285714285714</v>
      </c>
      <c r="M13" s="12" t="s">
        <v>42</v>
      </c>
      <c r="P13" s="11" t="n">
        <f aca="false">AVERAGE(P5:P11)</f>
        <v>12</v>
      </c>
      <c r="T13" s="12" t="s">
        <v>42</v>
      </c>
      <c r="W13" s="11" t="n">
        <f aca="false">AVERAGE(W5:W11)</f>
        <v>12.5714285714286</v>
      </c>
      <c r="AA13" s="12" t="s">
        <v>42</v>
      </c>
      <c r="AD13" s="11" t="n">
        <f aca="false">AVERAGE(AD5:AD11)</f>
        <v>18.1428571428571</v>
      </c>
    </row>
    <row r="14" customFormat="false" ht="15" hidden="false" customHeight="false" outlineLevel="0" collapsed="false">
      <c r="F14" s="12" t="s">
        <v>43</v>
      </c>
      <c r="I14" s="11" t="n">
        <f aca="false">AVERAGE(K5:K11)</f>
        <v>8.14285714285714</v>
      </c>
      <c r="M14" s="12" t="s">
        <v>43</v>
      </c>
      <c r="P14" s="11" t="n">
        <f aca="false">AVERAGE(R5:R11)</f>
        <v>3.42857142857143</v>
      </c>
      <c r="T14" s="12" t="s">
        <v>43</v>
      </c>
      <c r="W14" s="11" t="n">
        <f aca="false">AVERAGE(Y5:Y11)</f>
        <v>3.28571428571429</v>
      </c>
      <c r="AA14" s="12" t="s">
        <v>43</v>
      </c>
      <c r="AD14" s="11" t="n">
        <f aca="false">AVERAGE(AF5:AF11)</f>
        <v>8.28571428571429</v>
      </c>
    </row>
    <row r="15" customFormat="false" ht="15" hidden="false" customHeight="false" outlineLevel="0" collapsed="false">
      <c r="F15" s="12" t="s">
        <v>44</v>
      </c>
      <c r="I15" s="11" t="n">
        <f aca="false">COUNTIF(K5:K11,"&gt;0")</f>
        <v>5</v>
      </c>
      <c r="M15" s="12" t="s">
        <v>44</v>
      </c>
      <c r="P15" s="11" t="n">
        <f aca="false">COUNTIF(R5:R11,"&gt;0")</f>
        <v>4</v>
      </c>
      <c r="T15" s="12" t="s">
        <v>44</v>
      </c>
      <c r="W15" s="11" t="n">
        <f aca="false">COUNTIF(Y5:Y11,"&gt;0")</f>
        <v>4</v>
      </c>
      <c r="AA15" s="12" t="s">
        <v>44</v>
      </c>
      <c r="AD15" s="11" t="n">
        <f aca="false">COUNTIF(AF5:AF11,"&gt;0")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3"/>
    <col collapsed="false" customWidth="true" hidden="false" outlineLevel="0" max="9" min="5" style="0" width="10"/>
    <col collapsed="false" customWidth="true" hidden="false" outlineLevel="0" max="10" min="10" style="0" width="3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32.8" hidden="false" customHeight="false" outlineLevel="0" collapsed="false">
      <c r="A4" s="3" t="s">
        <v>26</v>
      </c>
      <c r="B4" s="3" t="s">
        <v>47</v>
      </c>
      <c r="C4" s="3" t="s">
        <v>48</v>
      </c>
      <c r="F4" s="12" t="s">
        <v>49</v>
      </c>
    </row>
    <row r="5" customFormat="false" ht="15" hidden="false" customHeight="false" outlineLevel="0" collapsed="false">
      <c r="A5" s="9" t="n">
        <v>1</v>
      </c>
      <c r="B5" s="10" t="n">
        <v>5</v>
      </c>
      <c r="C5" s="10" t="n">
        <v>2</v>
      </c>
      <c r="F5" s="10" t="n">
        <v>2</v>
      </c>
    </row>
    <row r="6" customFormat="false" ht="15" hidden="false" customHeight="false" outlineLevel="0" collapsed="false">
      <c r="A6" s="9" t="n">
        <v>2</v>
      </c>
      <c r="B6" s="10" t="n">
        <v>1</v>
      </c>
      <c r="C6" s="10" t="n">
        <v>6</v>
      </c>
      <c r="F6" s="10" t="n">
        <v>4</v>
      </c>
    </row>
    <row r="7" customFormat="false" ht="15" hidden="false" customHeight="false" outlineLevel="0" collapsed="false">
      <c r="A7" s="9" t="n">
        <v>3</v>
      </c>
      <c r="B7" s="10" t="n">
        <v>9</v>
      </c>
      <c r="C7" s="10" t="n">
        <v>7</v>
      </c>
      <c r="F7" s="10" t="n">
        <v>3</v>
      </c>
    </row>
    <row r="8" customFormat="false" ht="15" hidden="false" customHeight="false" outlineLevel="0" collapsed="false">
      <c r="A8" s="9" t="n">
        <v>4</v>
      </c>
      <c r="B8" s="10" t="n">
        <v>3</v>
      </c>
      <c r="C8" s="10" t="n">
        <v>8</v>
      </c>
      <c r="F8" s="10" t="n">
        <v>6</v>
      </c>
    </row>
    <row r="9" customFormat="false" ht="15" hidden="false" customHeight="false" outlineLevel="0" collapsed="false">
      <c r="A9" s="9" t="n">
        <v>5</v>
      </c>
      <c r="B9" s="10" t="n">
        <v>10</v>
      </c>
      <c r="C9" s="10" t="n">
        <v>4</v>
      </c>
      <c r="F9" s="10" t="n">
        <v>5</v>
      </c>
    </row>
    <row r="10" customFormat="false" ht="15" hidden="false" customHeight="false" outlineLevel="0" collapsed="false">
      <c r="A10" s="9" t="n">
        <v>6</v>
      </c>
      <c r="B10" s="10" t="n">
        <v>6</v>
      </c>
      <c r="C10" s="10" t="n">
        <v>5</v>
      </c>
      <c r="F10" s="10" t="n">
        <v>1</v>
      </c>
    </row>
    <row r="11" customFormat="false" ht="114.9" hidden="false" customHeight="false" outlineLevel="0" collapsed="false">
      <c r="A11" s="3" t="s">
        <v>50</v>
      </c>
      <c r="B11" s="3" t="s">
        <v>26</v>
      </c>
      <c r="C11" s="8" t="s">
        <v>51</v>
      </c>
      <c r="D11" s="8" t="s">
        <v>52</v>
      </c>
      <c r="E11" s="8" t="s">
        <v>53</v>
      </c>
      <c r="F11" s="8" t="s">
        <v>54</v>
      </c>
      <c r="G11" s="8" t="s">
        <v>55</v>
      </c>
      <c r="H11" s="8" t="s">
        <v>56</v>
      </c>
      <c r="J11" s="8" t="s">
        <v>57</v>
      </c>
      <c r="K11" s="8" t="s">
        <v>58</v>
      </c>
      <c r="L11" s="8" t="s">
        <v>59</v>
      </c>
      <c r="M11" s="8" t="s">
        <v>60</v>
      </c>
    </row>
    <row r="12" customFormat="false" ht="15" hidden="false" customHeight="false" outlineLevel="0" collapsed="false">
      <c r="A12" s="11" t="n">
        <v>1</v>
      </c>
      <c r="B12" s="11" t="n">
        <f aca="false">F5</f>
        <v>2</v>
      </c>
      <c r="C12" s="11" t="n">
        <f aca="false">VLOOKUP(B12,$A$5:$C$10,2,0)</f>
        <v>1</v>
      </c>
      <c r="D12" s="11" t="n">
        <f aca="false">VLOOKUP(B12,$A$5:$C$10,3,0)</f>
        <v>6</v>
      </c>
      <c r="E12" s="11" t="n">
        <v>0</v>
      </c>
      <c r="F12" s="11" t="n">
        <f aca="false">E12+C12</f>
        <v>1</v>
      </c>
      <c r="G12" s="11" t="n">
        <f aca="false">F12</f>
        <v>1</v>
      </c>
      <c r="H12" s="11" t="n">
        <f aca="false">G12+D12</f>
        <v>7</v>
      </c>
      <c r="J12" s="11" t="n">
        <f aca="false">E12</f>
        <v>0</v>
      </c>
      <c r="K12" s="11" t="n">
        <f aca="false">C12</f>
        <v>1</v>
      </c>
      <c r="L12" s="11" t="n">
        <f aca="false">G12</f>
        <v>1</v>
      </c>
      <c r="M12" s="11" t="n">
        <f aca="false">D12</f>
        <v>6</v>
      </c>
    </row>
    <row r="13" customFormat="false" ht="15" hidden="false" customHeight="false" outlineLevel="0" collapsed="false">
      <c r="A13" s="11" t="n">
        <v>2</v>
      </c>
      <c r="B13" s="11" t="n">
        <f aca="false">F6</f>
        <v>4</v>
      </c>
      <c r="C13" s="11" t="n">
        <f aca="false">VLOOKUP(B13,$A$5:$C$10,2,0)</f>
        <v>3</v>
      </c>
      <c r="D13" s="11" t="n">
        <f aca="false">VLOOKUP(B13,$A$5:$C$10,3,0)</f>
        <v>8</v>
      </c>
      <c r="E13" s="11" t="n">
        <f aca="false">F12</f>
        <v>1</v>
      </c>
      <c r="F13" s="11" t="n">
        <f aca="false">E13+C13</f>
        <v>4</v>
      </c>
      <c r="G13" s="11" t="n">
        <f aca="false">MAX(F13,H12)</f>
        <v>7</v>
      </c>
      <c r="H13" s="11" t="n">
        <f aca="false">G13+D13</f>
        <v>15</v>
      </c>
      <c r="J13" s="11" t="n">
        <f aca="false">E13</f>
        <v>1</v>
      </c>
      <c r="K13" s="11" t="n">
        <f aca="false">C13</f>
        <v>3</v>
      </c>
      <c r="L13" s="11" t="n">
        <f aca="false">G13</f>
        <v>7</v>
      </c>
      <c r="M13" s="11" t="n">
        <f aca="false">D13</f>
        <v>8</v>
      </c>
    </row>
    <row r="14" customFormat="false" ht="15" hidden="false" customHeight="false" outlineLevel="0" collapsed="false">
      <c r="A14" s="11" t="n">
        <v>3</v>
      </c>
      <c r="B14" s="11" t="n">
        <f aca="false">F7</f>
        <v>3</v>
      </c>
      <c r="C14" s="11" t="n">
        <f aca="false">VLOOKUP(B14,$A$5:$C$10,2,0)</f>
        <v>9</v>
      </c>
      <c r="D14" s="11" t="n">
        <f aca="false">VLOOKUP(B14,$A$5:$C$10,3,0)</f>
        <v>7</v>
      </c>
      <c r="E14" s="11" t="n">
        <f aca="false">F13</f>
        <v>4</v>
      </c>
      <c r="F14" s="11" t="n">
        <f aca="false">E14+C14</f>
        <v>13</v>
      </c>
      <c r="G14" s="11" t="n">
        <f aca="false">MAX(F14,H13)</f>
        <v>15</v>
      </c>
      <c r="H14" s="11" t="n">
        <f aca="false">G14+D14</f>
        <v>22</v>
      </c>
      <c r="J14" s="11" t="n">
        <f aca="false">E14</f>
        <v>4</v>
      </c>
      <c r="K14" s="11" t="n">
        <f aca="false">C14</f>
        <v>9</v>
      </c>
      <c r="L14" s="11" t="n">
        <f aca="false">G14</f>
        <v>15</v>
      </c>
      <c r="M14" s="11" t="n">
        <f aca="false">D14</f>
        <v>7</v>
      </c>
    </row>
    <row r="15" customFormat="false" ht="15" hidden="false" customHeight="false" outlineLevel="0" collapsed="false">
      <c r="A15" s="11" t="n">
        <v>4</v>
      </c>
      <c r="B15" s="11" t="n">
        <f aca="false">F8</f>
        <v>6</v>
      </c>
      <c r="C15" s="11" t="n">
        <f aca="false">VLOOKUP(B15,$A$5:$C$10,2,0)</f>
        <v>6</v>
      </c>
      <c r="D15" s="11" t="n">
        <f aca="false">VLOOKUP(B15,$A$5:$C$10,3,0)</f>
        <v>5</v>
      </c>
      <c r="E15" s="11" t="n">
        <f aca="false">F14</f>
        <v>13</v>
      </c>
      <c r="F15" s="11" t="n">
        <f aca="false">E15+C15</f>
        <v>19</v>
      </c>
      <c r="G15" s="11" t="n">
        <f aca="false">MAX(F15,H14)</f>
        <v>22</v>
      </c>
      <c r="H15" s="11" t="n">
        <f aca="false">G15+D15</f>
        <v>27</v>
      </c>
      <c r="J15" s="11" t="n">
        <f aca="false">E15</f>
        <v>13</v>
      </c>
      <c r="K15" s="11" t="n">
        <f aca="false">C15</f>
        <v>6</v>
      </c>
      <c r="L15" s="11" t="n">
        <f aca="false">G15</f>
        <v>22</v>
      </c>
      <c r="M15" s="11" t="n">
        <f aca="false">D15</f>
        <v>5</v>
      </c>
    </row>
    <row r="16" customFormat="false" ht="15" hidden="false" customHeight="false" outlineLevel="0" collapsed="false">
      <c r="A16" s="11" t="n">
        <v>5</v>
      </c>
      <c r="B16" s="11" t="n">
        <f aca="false">F9</f>
        <v>5</v>
      </c>
      <c r="C16" s="11" t="n">
        <f aca="false">VLOOKUP(B16,$A$5:$C$10,2,0)</f>
        <v>10</v>
      </c>
      <c r="D16" s="11" t="n">
        <f aca="false">VLOOKUP(B16,$A$5:$C$10,3,0)</f>
        <v>4</v>
      </c>
      <c r="E16" s="11" t="n">
        <f aca="false">F15</f>
        <v>19</v>
      </c>
      <c r="F16" s="11" t="n">
        <f aca="false">E16+C16</f>
        <v>29</v>
      </c>
      <c r="G16" s="11" t="n">
        <f aca="false">MAX(F16,H15)</f>
        <v>29</v>
      </c>
      <c r="H16" s="11" t="n">
        <f aca="false">G16+D16</f>
        <v>33</v>
      </c>
      <c r="J16" s="11" t="n">
        <f aca="false">E16</f>
        <v>19</v>
      </c>
      <c r="K16" s="11" t="n">
        <f aca="false">C16</f>
        <v>10</v>
      </c>
      <c r="L16" s="11" t="n">
        <f aca="false">G16</f>
        <v>29</v>
      </c>
      <c r="M16" s="11" t="n">
        <f aca="false">D16</f>
        <v>4</v>
      </c>
    </row>
    <row r="17" customFormat="false" ht="15" hidden="false" customHeight="false" outlineLevel="0" collapsed="false">
      <c r="A17" s="11" t="n">
        <v>6</v>
      </c>
      <c r="B17" s="11" t="n">
        <f aca="false">F10</f>
        <v>1</v>
      </c>
      <c r="C17" s="11" t="n">
        <f aca="false">VLOOKUP(B17,$A$5:$C$10,2,0)</f>
        <v>5</v>
      </c>
      <c r="D17" s="11" t="n">
        <f aca="false">VLOOKUP(B17,$A$5:$C$10,3,0)</f>
        <v>2</v>
      </c>
      <c r="E17" s="11" t="n">
        <f aca="false">F16</f>
        <v>29</v>
      </c>
      <c r="F17" s="11" t="n">
        <f aca="false">E17+C17</f>
        <v>34</v>
      </c>
      <c r="G17" s="11" t="n">
        <f aca="false">MAX(F17,H16)</f>
        <v>34</v>
      </c>
      <c r="H17" s="11" t="n">
        <f aca="false">G17+D17</f>
        <v>36</v>
      </c>
      <c r="J17" s="11" t="n">
        <f aca="false">E17</f>
        <v>29</v>
      </c>
      <c r="K17" s="11" t="n">
        <f aca="false">C17</f>
        <v>5</v>
      </c>
      <c r="L17" s="11" t="n">
        <f aca="false">G17</f>
        <v>34</v>
      </c>
      <c r="M17" s="11" t="n">
        <f aca="false">D17</f>
        <v>2</v>
      </c>
    </row>
    <row r="19" customFormat="false" ht="17.15" hidden="false" customHeight="false" outlineLevel="0" collapsed="false">
      <c r="A19" s="7" t="s">
        <v>61</v>
      </c>
      <c r="B19" s="11" t="n">
        <f aca="false">H17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8"/>
    <col collapsed="false" customWidth="true" hidden="false" outlineLevel="0" max="6" min="6" style="0" width="3"/>
    <col collapsed="false" customWidth="true" hidden="false" outlineLevel="0" max="7" min="7" style="0" width="10"/>
    <col collapsed="false" customWidth="true" hidden="false" outlineLevel="0" max="11" min="8" style="0" width="8"/>
  </cols>
  <sheetData>
    <row r="1" customFormat="false" ht="17.15" hidden="false" customHeight="false" outlineLevel="0" collapsed="false">
      <c r="A1" s="12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12" t="s">
        <v>67</v>
      </c>
    </row>
    <row r="2" customFormat="false" ht="15" hidden="false" customHeight="false" outlineLevel="0" collapsed="false">
      <c r="A2" s="13" t="s">
        <v>68</v>
      </c>
      <c r="B2" s="10" t="n">
        <v>11</v>
      </c>
      <c r="C2" s="10" t="n">
        <v>14</v>
      </c>
      <c r="D2" s="10" t="n">
        <v>6</v>
      </c>
      <c r="E2" s="10" t="n">
        <v>15</v>
      </c>
      <c r="G2" s="11" t="n">
        <f aca="false">MIN(B2:E2)</f>
        <v>6</v>
      </c>
    </row>
    <row r="3" customFormat="false" ht="15" hidden="false" customHeight="false" outlineLevel="0" collapsed="false">
      <c r="A3" s="4" t="s">
        <v>69</v>
      </c>
      <c r="B3" s="10" t="n">
        <v>8</v>
      </c>
      <c r="C3" s="10" t="n">
        <v>10</v>
      </c>
      <c r="D3" s="10" t="n">
        <v>11</v>
      </c>
      <c r="E3" s="10" t="n">
        <v>7</v>
      </c>
      <c r="G3" s="11" t="n">
        <f aca="false">MIN(B3:E3)</f>
        <v>7</v>
      </c>
    </row>
    <row r="4" customFormat="false" ht="15" hidden="false" customHeight="false" outlineLevel="0" collapsed="false">
      <c r="A4" s="4" t="s">
        <v>70</v>
      </c>
      <c r="B4" s="10" t="n">
        <v>9</v>
      </c>
      <c r="C4" s="10" t="n">
        <v>12</v>
      </c>
      <c r="D4" s="10" t="n">
        <v>7</v>
      </c>
      <c r="E4" s="10" t="n">
        <v>11</v>
      </c>
      <c r="G4" s="11" t="n">
        <f aca="false">MIN(B4:E4)</f>
        <v>7</v>
      </c>
    </row>
    <row r="5" customFormat="false" ht="15" hidden="false" customHeight="false" outlineLevel="0" collapsed="false">
      <c r="A5" s="4" t="s">
        <v>71</v>
      </c>
      <c r="B5" s="10" t="n">
        <v>9</v>
      </c>
      <c r="C5" s="10" t="n">
        <v>10</v>
      </c>
      <c r="D5" s="10" t="n">
        <v>6</v>
      </c>
      <c r="E5" s="10" t="n">
        <v>9</v>
      </c>
      <c r="G5" s="11" t="n">
        <f aca="false">MIN(B5:E5)</f>
        <v>6</v>
      </c>
    </row>
    <row r="7" customFormat="false" ht="15" hidden="false" customHeight="false" outlineLevel="0" collapsed="false">
      <c r="A7" s="12" t="s">
        <v>72</v>
      </c>
    </row>
    <row r="8" customFormat="false" ht="17.15" hidden="false" customHeight="false" outlineLevel="0" collapsed="false">
      <c r="H8" s="3" t="s">
        <v>63</v>
      </c>
      <c r="I8" s="3" t="s">
        <v>64</v>
      </c>
      <c r="J8" s="3" t="s">
        <v>65</v>
      </c>
      <c r="K8" s="3" t="s">
        <v>66</v>
      </c>
    </row>
    <row r="9" customFormat="false" ht="15" hidden="false" customHeight="false" outlineLevel="0" collapsed="false">
      <c r="G9" s="14" t="s">
        <v>68</v>
      </c>
      <c r="H9" s="11" t="n">
        <f aca="false">B2-$G$2</f>
        <v>5</v>
      </c>
      <c r="I9" s="11" t="n">
        <f aca="false">C2-$G$2</f>
        <v>8</v>
      </c>
      <c r="J9" s="11" t="n">
        <f aca="false">D2-$G$2</f>
        <v>0</v>
      </c>
      <c r="K9" s="11" t="n">
        <f aca="false">E2-$G$2</f>
        <v>9</v>
      </c>
    </row>
    <row r="10" customFormat="false" ht="15" hidden="false" customHeight="false" outlineLevel="0" collapsed="false">
      <c r="G10" s="14" t="s">
        <v>69</v>
      </c>
      <c r="H10" s="11" t="n">
        <f aca="false">B3-$G$3</f>
        <v>1</v>
      </c>
      <c r="I10" s="11" t="n">
        <f aca="false">C3-$G$3</f>
        <v>3</v>
      </c>
      <c r="J10" s="11" t="n">
        <f aca="false">D3-$G$3</f>
        <v>4</v>
      </c>
      <c r="K10" s="11" t="n">
        <f aca="false">E3-$G$3</f>
        <v>0</v>
      </c>
    </row>
    <row r="11" customFormat="false" ht="15" hidden="false" customHeight="false" outlineLevel="0" collapsed="false">
      <c r="G11" s="14" t="s">
        <v>70</v>
      </c>
      <c r="H11" s="11" t="n">
        <f aca="false">B4-$G$4</f>
        <v>2</v>
      </c>
      <c r="I11" s="11" t="n">
        <f aca="false">C4-$G$4</f>
        <v>5</v>
      </c>
      <c r="J11" s="11" t="n">
        <f aca="false">D4-$G$4</f>
        <v>0</v>
      </c>
      <c r="K11" s="11" t="n">
        <f aca="false">E4-$G$4</f>
        <v>4</v>
      </c>
    </row>
    <row r="12" customFormat="false" ht="15" hidden="false" customHeight="false" outlineLevel="0" collapsed="false">
      <c r="G12" s="14" t="s">
        <v>71</v>
      </c>
      <c r="H12" s="11" t="n">
        <f aca="false">B5-$G$5</f>
        <v>3</v>
      </c>
      <c r="I12" s="11" t="n">
        <f aca="false">C5-$G$5</f>
        <v>4</v>
      </c>
      <c r="J12" s="11" t="n">
        <f aca="false">D5-$G$5</f>
        <v>0</v>
      </c>
      <c r="K12" s="11" t="n">
        <f aca="false">E5-$G$5</f>
        <v>3</v>
      </c>
    </row>
    <row r="13" customFormat="false" ht="15" hidden="false" customHeight="false" outlineLevel="0" collapsed="false">
      <c r="G13" s="12" t="s">
        <v>73</v>
      </c>
      <c r="H13" s="11" t="n">
        <f aca="false">MIN(H9:H12)</f>
        <v>1</v>
      </c>
      <c r="I13" s="11" t="n">
        <f aca="false">MIN(I9:I12)</f>
        <v>3</v>
      </c>
      <c r="J13" s="11" t="n">
        <f aca="false">MIN(J9:J12)</f>
        <v>0</v>
      </c>
      <c r="K13" s="11" t="n">
        <f aca="false">MIN(K9:K12)</f>
        <v>0</v>
      </c>
    </row>
    <row r="14" customFormat="false" ht="15" hidden="false" customHeight="false" outlineLevel="0" collapsed="false">
      <c r="F14" s="12" t="s">
        <v>74</v>
      </c>
    </row>
    <row r="15" customFormat="false" ht="17.15" hidden="false" customHeight="false" outlineLevel="0" collapsed="false">
      <c r="H15" s="3" t="s">
        <v>63</v>
      </c>
      <c r="I15" s="3" t="s">
        <v>64</v>
      </c>
      <c r="J15" s="3" t="s">
        <v>65</v>
      </c>
      <c r="K15" s="3" t="s">
        <v>66</v>
      </c>
    </row>
    <row r="16" customFormat="false" ht="15" hidden="false" customHeight="false" outlineLevel="0" collapsed="false">
      <c r="G16" s="14" t="s">
        <v>68</v>
      </c>
      <c r="H16" s="11" t="n">
        <f aca="false">H9-H$13</f>
        <v>4</v>
      </c>
      <c r="I16" s="11" t="n">
        <f aca="false">I9-I$13</f>
        <v>5</v>
      </c>
      <c r="J16" s="11" t="n">
        <f aca="false">J9-J$13</f>
        <v>0</v>
      </c>
      <c r="K16" s="11" t="n">
        <f aca="false">K9-K$13</f>
        <v>9</v>
      </c>
    </row>
    <row r="17" customFormat="false" ht="15" hidden="false" customHeight="false" outlineLevel="0" collapsed="false">
      <c r="G17" s="14" t="s">
        <v>69</v>
      </c>
      <c r="H17" s="11" t="n">
        <f aca="false">H10-H$13</f>
        <v>0</v>
      </c>
      <c r="I17" s="11" t="n">
        <f aca="false">I10-I$13</f>
        <v>0</v>
      </c>
      <c r="J17" s="11" t="n">
        <f aca="false">J10-J$13</f>
        <v>4</v>
      </c>
      <c r="K17" s="11" t="n">
        <f aca="false">K10-K$13</f>
        <v>0</v>
      </c>
    </row>
    <row r="18" customFormat="false" ht="15" hidden="false" customHeight="false" outlineLevel="0" collapsed="false">
      <c r="G18" s="14" t="s">
        <v>70</v>
      </c>
      <c r="H18" s="11" t="n">
        <f aca="false">H11-H$13</f>
        <v>1</v>
      </c>
      <c r="I18" s="11" t="n">
        <f aca="false">I11-I$13</f>
        <v>2</v>
      </c>
      <c r="J18" s="11" t="n">
        <f aca="false">J11-J$13</f>
        <v>0</v>
      </c>
      <c r="K18" s="11" t="n">
        <f aca="false">K11-K$13</f>
        <v>4</v>
      </c>
    </row>
    <row r="19" customFormat="false" ht="15" hidden="false" customHeight="false" outlineLevel="0" collapsed="false">
      <c r="G19" s="14" t="s">
        <v>71</v>
      </c>
      <c r="H19" s="11" t="n">
        <f aca="false">H12-H$13</f>
        <v>2</v>
      </c>
      <c r="I19" s="11" t="n">
        <f aca="false">I12-I$13</f>
        <v>1</v>
      </c>
      <c r="J19" s="11" t="n">
        <f aca="false">J12-J$13</f>
        <v>0</v>
      </c>
      <c r="K19" s="11" t="n">
        <f aca="false">K12-K$13</f>
        <v>3</v>
      </c>
    </row>
    <row r="21" customFormat="false" ht="17.15" hidden="false" customHeight="false" outlineLevel="0" collapsed="false">
      <c r="F21" s="12" t="s">
        <v>75</v>
      </c>
    </row>
    <row r="22" customFormat="false" ht="17.15" hidden="false" customHeight="false" outlineLevel="0" collapsed="false">
      <c r="H22" s="3" t="s">
        <v>63</v>
      </c>
      <c r="I22" s="3" t="s">
        <v>64</v>
      </c>
      <c r="J22" s="3" t="s">
        <v>65</v>
      </c>
      <c r="K22" s="3" t="s">
        <v>66</v>
      </c>
    </row>
    <row r="23" customFormat="false" ht="15" hidden="false" customHeight="false" outlineLevel="0" collapsed="false">
      <c r="G23" s="14" t="s">
        <v>68</v>
      </c>
      <c r="H23" s="10" t="n">
        <v>3</v>
      </c>
      <c r="I23" s="10" t="n">
        <v>4</v>
      </c>
      <c r="J23" s="10" t="n">
        <v>0</v>
      </c>
      <c r="K23" s="10" t="n">
        <v>8</v>
      </c>
    </row>
    <row r="24" customFormat="false" ht="15" hidden="false" customHeight="false" outlineLevel="0" collapsed="false">
      <c r="G24" s="14" t="s">
        <v>69</v>
      </c>
      <c r="H24" s="10" t="n">
        <v>0</v>
      </c>
      <c r="I24" s="10" t="n">
        <v>0</v>
      </c>
      <c r="J24" s="10" t="n">
        <v>5</v>
      </c>
      <c r="K24" s="10" t="n">
        <v>0</v>
      </c>
    </row>
    <row r="25" customFormat="false" ht="15" hidden="false" customHeight="false" outlineLevel="0" collapsed="false">
      <c r="G25" s="14" t="s">
        <v>70</v>
      </c>
      <c r="H25" s="10" t="n">
        <v>0</v>
      </c>
      <c r="I25" s="10" t="n">
        <v>1</v>
      </c>
      <c r="J25" s="10" t="n">
        <v>0</v>
      </c>
      <c r="K25" s="10" t="n">
        <v>3</v>
      </c>
    </row>
    <row r="26" customFormat="false" ht="15" hidden="false" customHeight="false" outlineLevel="0" collapsed="false">
      <c r="G26" s="14" t="s">
        <v>71</v>
      </c>
      <c r="H26" s="10" t="n">
        <v>1</v>
      </c>
      <c r="I26" s="10" t="n">
        <v>0</v>
      </c>
      <c r="J26" s="10" t="n">
        <v>0</v>
      </c>
      <c r="K26" s="10" t="n">
        <v>2</v>
      </c>
    </row>
    <row r="28" customFormat="false" ht="17.15" hidden="false" customHeight="false" outlineLevel="0" collapsed="false">
      <c r="A28" s="12" t="s">
        <v>76</v>
      </c>
    </row>
    <row r="29" customFormat="false" ht="17.15" hidden="false" customHeight="false" outlineLevel="0" collapsed="false">
      <c r="A29" s="14" t="s">
        <v>77</v>
      </c>
    </row>
    <row r="30" customFormat="false" ht="17.15" hidden="false" customHeight="false" outlineLevel="0" collapsed="false">
      <c r="A30" s="12" t="s">
        <v>78</v>
      </c>
      <c r="B30" s="11" t="n">
        <f aca="false">D2+E3+B4+C5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8"/>
    <col collapsed="false" customWidth="true" hidden="false" outlineLevel="0" max="6" min="6" style="0" width="3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12" t="s">
        <v>62</v>
      </c>
    </row>
    <row r="5" customFormat="false" ht="17.15" hidden="false" customHeight="false" outlineLevel="0" collapsed="false">
      <c r="B5" s="3" t="s">
        <v>63</v>
      </c>
      <c r="C5" s="3" t="s">
        <v>64</v>
      </c>
      <c r="D5" s="3" t="s">
        <v>65</v>
      </c>
      <c r="E5" s="3" t="s">
        <v>66</v>
      </c>
    </row>
    <row r="6" customFormat="false" ht="15" hidden="false" customHeight="false" outlineLevel="0" collapsed="false">
      <c r="A6" s="4" t="s">
        <v>68</v>
      </c>
      <c r="B6" s="10" t="n">
        <v>11</v>
      </c>
      <c r="C6" s="10" t="n">
        <v>14</v>
      </c>
      <c r="D6" s="10" t="n">
        <v>6</v>
      </c>
      <c r="E6" s="10" t="n">
        <v>15</v>
      </c>
    </row>
    <row r="7" customFormat="false" ht="15" hidden="false" customHeight="false" outlineLevel="0" collapsed="false">
      <c r="A7" s="4" t="s">
        <v>69</v>
      </c>
      <c r="B7" s="10" t="n">
        <v>8</v>
      </c>
      <c r="C7" s="10" t="n">
        <v>10</v>
      </c>
      <c r="D7" s="10" t="n">
        <v>11</v>
      </c>
      <c r="E7" s="10" t="n">
        <v>7</v>
      </c>
    </row>
    <row r="8" customFormat="false" ht="15" hidden="false" customHeight="false" outlineLevel="0" collapsed="false">
      <c r="A8" s="4" t="s">
        <v>70</v>
      </c>
      <c r="B8" s="10" t="n">
        <v>9</v>
      </c>
      <c r="C8" s="10" t="n">
        <v>12</v>
      </c>
      <c r="D8" s="10" t="n">
        <v>7</v>
      </c>
      <c r="E8" s="10" t="n">
        <v>11</v>
      </c>
    </row>
    <row r="9" customFormat="false" ht="15" hidden="false" customHeight="false" outlineLevel="0" collapsed="false">
      <c r="A9" s="4" t="s">
        <v>71</v>
      </c>
      <c r="B9" s="10" t="n">
        <v>9</v>
      </c>
      <c r="C9" s="10" t="n">
        <v>10</v>
      </c>
      <c r="D9" s="10" t="n">
        <v>6</v>
      </c>
      <c r="E9" s="10" t="n">
        <v>9</v>
      </c>
    </row>
    <row r="11" customFormat="false" ht="17.15" hidden="false" customHeight="false" outlineLevel="0" collapsed="false">
      <c r="A11" s="12" t="s">
        <v>81</v>
      </c>
    </row>
    <row r="12" customFormat="false" ht="17.15" hidden="false" customHeight="false" outlineLevel="0" collapsed="false">
      <c r="B12" s="3" t="s">
        <v>63</v>
      </c>
      <c r="C12" s="3" t="s">
        <v>64</v>
      </c>
      <c r="D12" s="3" t="s">
        <v>65</v>
      </c>
      <c r="E12" s="3" t="s">
        <v>66</v>
      </c>
      <c r="G12" s="12" t="s">
        <v>82</v>
      </c>
    </row>
    <row r="13" customFormat="false" ht="15" hidden="false" customHeight="false" outlineLevel="0" collapsed="false">
      <c r="A13" s="4" t="s">
        <v>68</v>
      </c>
      <c r="B13" s="10" t="n">
        <v>0</v>
      </c>
      <c r="C13" s="10" t="n">
        <v>0</v>
      </c>
      <c r="D13" s="10" t="n">
        <v>1</v>
      </c>
      <c r="E13" s="10" t="n">
        <v>0</v>
      </c>
      <c r="G13" s="11" t="n">
        <f aca="false">SUM(B13:E13)</f>
        <v>1</v>
      </c>
    </row>
    <row r="14" customFormat="false" ht="15" hidden="false" customHeight="false" outlineLevel="0" collapsed="false">
      <c r="A14" s="4" t="s">
        <v>69</v>
      </c>
      <c r="B14" s="10" t="n">
        <v>0</v>
      </c>
      <c r="C14" s="10" t="n">
        <v>0</v>
      </c>
      <c r="D14" s="10" t="n">
        <v>0</v>
      </c>
      <c r="E14" s="10" t="n">
        <v>1</v>
      </c>
      <c r="G14" s="11" t="n">
        <f aca="false">SUM(B14:E14)</f>
        <v>1</v>
      </c>
    </row>
    <row r="15" customFormat="false" ht="15" hidden="false" customHeight="false" outlineLevel="0" collapsed="false">
      <c r="A15" s="4" t="s">
        <v>70</v>
      </c>
      <c r="B15" s="10" t="n">
        <v>1</v>
      </c>
      <c r="C15" s="10" t="n">
        <v>0</v>
      </c>
      <c r="D15" s="10" t="n">
        <v>0</v>
      </c>
      <c r="E15" s="10" t="n">
        <v>0</v>
      </c>
      <c r="G15" s="11" t="n">
        <f aca="false">SUM(B15:E15)</f>
        <v>1</v>
      </c>
    </row>
    <row r="16" customFormat="false" ht="15" hidden="false" customHeight="false" outlineLevel="0" collapsed="false">
      <c r="A16" s="4" t="s">
        <v>71</v>
      </c>
      <c r="B16" s="10" t="n">
        <v>0</v>
      </c>
      <c r="C16" s="10" t="n">
        <v>1</v>
      </c>
      <c r="D16" s="10" t="n">
        <v>0</v>
      </c>
      <c r="E16" s="10" t="n">
        <v>0</v>
      </c>
      <c r="G16" s="11" t="n">
        <f aca="false">SUM(B16:E16)</f>
        <v>1</v>
      </c>
    </row>
    <row r="18" customFormat="false" ht="17.15" hidden="false" customHeight="false" outlineLevel="0" collapsed="false">
      <c r="A18" s="12" t="s">
        <v>83</v>
      </c>
      <c r="B18" s="11" t="n">
        <f aca="false">SUM(B13:B16)</f>
        <v>1</v>
      </c>
      <c r="C18" s="11" t="n">
        <f aca="false">SUM(C13:C16)</f>
        <v>1</v>
      </c>
      <c r="D18" s="11" t="n">
        <f aca="false">SUM(D13:D16)</f>
        <v>1</v>
      </c>
      <c r="E18" s="11" t="n">
        <f aca="false">SUM(E13:E16)</f>
        <v>1</v>
      </c>
    </row>
    <row r="20" customFormat="false" ht="15" hidden="false" customHeight="false" outlineLevel="0" collapsed="false">
      <c r="A20" s="12" t="s">
        <v>84</v>
      </c>
      <c r="B20" s="11" t="n">
        <f aca="false">SUMPRODUCT(B6:E9,B13:E16)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7" min="6" style="0" width="6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3"/>
    <col collapsed="false" customWidth="true" hidden="false" outlineLevel="0" max="12" min="12" style="0" width="7"/>
    <col collapsed="false" customWidth="true" hidden="false" outlineLevel="0" max="14" min="13" style="0" width="6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3"/>
    <col collapsed="false" customWidth="true" hidden="false" outlineLevel="0" max="19" min="19" style="0" width="7"/>
    <col collapsed="false" customWidth="true" hidden="false" outlineLevel="0" max="21" min="20" style="0" width="6"/>
    <col collapsed="false" customWidth="true" hidden="false" outlineLevel="0" max="22" min="22" style="0" width="9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3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3" customFormat="false" ht="17.15" hidden="false" customHeight="false" outlineLevel="0" collapsed="false">
      <c r="F3" s="7" t="s">
        <v>22</v>
      </c>
      <c r="M3" s="7" t="s">
        <v>23</v>
      </c>
      <c r="T3" s="7" t="s">
        <v>24</v>
      </c>
    </row>
    <row r="4" customFormat="false" ht="64.15" hidden="false" customHeight="false" outlineLevel="0" collapsed="false">
      <c r="A4" s="3" t="s">
        <v>26</v>
      </c>
      <c r="B4" s="3" t="s">
        <v>47</v>
      </c>
      <c r="C4" s="3" t="s">
        <v>48</v>
      </c>
      <c r="D4" s="3"/>
      <c r="F4" s="3" t="s">
        <v>26</v>
      </c>
      <c r="G4" s="8" t="s">
        <v>30</v>
      </c>
      <c r="H4" s="8" t="s">
        <v>31</v>
      </c>
      <c r="I4" s="3" t="s">
        <v>32</v>
      </c>
      <c r="J4" s="3" t="s">
        <v>33</v>
      </c>
      <c r="K4" s="3" t="s">
        <v>34</v>
      </c>
      <c r="M4" s="3" t="s">
        <v>26</v>
      </c>
      <c r="N4" s="8" t="s">
        <v>30</v>
      </c>
      <c r="O4" s="8" t="s">
        <v>31</v>
      </c>
      <c r="P4" s="3" t="s">
        <v>32</v>
      </c>
      <c r="Q4" s="3" t="s">
        <v>33</v>
      </c>
      <c r="R4" s="3" t="s">
        <v>34</v>
      </c>
      <c r="T4" s="3" t="s">
        <v>26</v>
      </c>
      <c r="U4" s="8" t="s">
        <v>30</v>
      </c>
      <c r="V4" s="8" t="s">
        <v>31</v>
      </c>
      <c r="W4" s="3" t="s">
        <v>32</v>
      </c>
      <c r="X4" s="3" t="s">
        <v>33</v>
      </c>
      <c r="Y4" s="3" t="s">
        <v>34</v>
      </c>
    </row>
    <row r="5" customFormat="false" ht="15" hidden="false" customHeight="false" outlineLevel="0" collapsed="false">
      <c r="A5" s="9" t="s">
        <v>87</v>
      </c>
      <c r="B5" s="10" t="n">
        <v>1</v>
      </c>
      <c r="C5" s="10" t="n">
        <v>3</v>
      </c>
      <c r="D5" s="10" t="n">
        <v>10</v>
      </c>
      <c r="F5" s="9" t="s">
        <v>87</v>
      </c>
      <c r="G5" s="11" t="n">
        <f aca="false">VLOOKUP(F5,$A$5:$D$10,3,0)</f>
        <v>3</v>
      </c>
      <c r="H5" s="11" t="n">
        <f aca="false">VLOOKUP(F5,$A$5:$D$10,4,0)</f>
        <v>10</v>
      </c>
      <c r="I5" s="11" t="n">
        <f aca="false">G5</f>
        <v>3</v>
      </c>
      <c r="J5" s="11" t="n">
        <f aca="false">I5-H5</f>
        <v>-7</v>
      </c>
      <c r="K5" s="11" t="n">
        <f aca="false">MAX(0,J5)</f>
        <v>0</v>
      </c>
      <c r="M5" s="9" t="s">
        <v>88</v>
      </c>
      <c r="N5" s="11" t="n">
        <f aca="false">VLOOKUP(M5,$A$5:$D$10,3,0)</f>
        <v>2</v>
      </c>
      <c r="O5" s="11" t="n">
        <f aca="false">VLOOKUP(M5,$A$5:$D$10,4,0)</f>
        <v>5</v>
      </c>
      <c r="P5" s="11" t="n">
        <f aca="false">N5</f>
        <v>2</v>
      </c>
      <c r="Q5" s="11" t="n">
        <f aca="false">P5-O5</f>
        <v>-3</v>
      </c>
      <c r="R5" s="11" t="n">
        <f aca="false">MAX(0,Q5)</f>
        <v>0</v>
      </c>
      <c r="T5" s="9" t="s">
        <v>88</v>
      </c>
      <c r="U5" s="11" t="n">
        <f aca="false">VLOOKUP(T5,$A$5:$D$10,3,0)</f>
        <v>2</v>
      </c>
      <c r="V5" s="11" t="n">
        <f aca="false">VLOOKUP(T5,$A$5:$D$10,4,0)</f>
        <v>5</v>
      </c>
      <c r="W5" s="11" t="n">
        <f aca="false">U5</f>
        <v>2</v>
      </c>
      <c r="X5" s="11" t="n">
        <f aca="false">W5-V5</f>
        <v>-3</v>
      </c>
      <c r="Y5" s="11" t="n">
        <f aca="false">MAX(0,X5)</f>
        <v>0</v>
      </c>
    </row>
    <row r="6" customFormat="false" ht="15" hidden="false" customHeight="false" outlineLevel="0" collapsed="false">
      <c r="A6" s="9" t="s">
        <v>89</v>
      </c>
      <c r="B6" s="10" t="n">
        <v>2</v>
      </c>
      <c r="C6" s="10" t="n">
        <v>6</v>
      </c>
      <c r="D6" s="10" t="n">
        <v>9</v>
      </c>
      <c r="F6" s="9" t="s">
        <v>89</v>
      </c>
      <c r="G6" s="11" t="n">
        <f aca="false">VLOOKUP(F6,$A$5:$D$10,3,0)</f>
        <v>6</v>
      </c>
      <c r="H6" s="11" t="n">
        <f aca="false">VLOOKUP(F6,$A$5:$D$10,4,0)</f>
        <v>9</v>
      </c>
      <c r="I6" s="11" t="n">
        <f aca="false">I5+G6</f>
        <v>9</v>
      </c>
      <c r="J6" s="11" t="n">
        <f aca="false">I6-H6</f>
        <v>0</v>
      </c>
      <c r="K6" s="11" t="n">
        <f aca="false">MAX(0,J6)</f>
        <v>0</v>
      </c>
      <c r="M6" s="9" t="s">
        <v>87</v>
      </c>
      <c r="N6" s="11" t="n">
        <f aca="false">VLOOKUP(M6,$A$5:$D$10,3,0)</f>
        <v>3</v>
      </c>
      <c r="O6" s="11" t="n">
        <f aca="false">VLOOKUP(M6,$A$5:$D$10,4,0)</f>
        <v>10</v>
      </c>
      <c r="P6" s="11" t="n">
        <f aca="false">P5+N6</f>
        <v>5</v>
      </c>
      <c r="Q6" s="11" t="n">
        <f aca="false">P6-O6</f>
        <v>-5</v>
      </c>
      <c r="R6" s="11" t="n">
        <f aca="false">MAX(0,Q6)</f>
        <v>0</v>
      </c>
      <c r="T6" s="9" t="s">
        <v>89</v>
      </c>
      <c r="U6" s="11" t="n">
        <f aca="false">VLOOKUP(T6,$A$5:$D$10,3,0)</f>
        <v>6</v>
      </c>
      <c r="V6" s="11" t="n">
        <f aca="false">VLOOKUP(T6,$A$5:$D$10,4,0)</f>
        <v>9</v>
      </c>
      <c r="W6" s="11" t="n">
        <f aca="false">W5+U6</f>
        <v>8</v>
      </c>
      <c r="X6" s="11" t="n">
        <f aca="false">W6-V6</f>
        <v>-1</v>
      </c>
      <c r="Y6" s="11" t="n">
        <f aca="false">MAX(0,X6)</f>
        <v>0</v>
      </c>
    </row>
    <row r="7" customFormat="false" ht="15" hidden="false" customHeight="false" outlineLevel="0" collapsed="false">
      <c r="A7" s="9" t="s">
        <v>88</v>
      </c>
      <c r="B7" s="10" t="n">
        <v>3</v>
      </c>
      <c r="C7" s="10" t="n">
        <v>2</v>
      </c>
      <c r="D7" s="10" t="n">
        <v>5</v>
      </c>
      <c r="F7" s="9" t="s">
        <v>88</v>
      </c>
      <c r="G7" s="11" t="n">
        <f aca="false">VLOOKUP(F7,$A$5:$D$10,3,0)</f>
        <v>2</v>
      </c>
      <c r="H7" s="11" t="n">
        <f aca="false">VLOOKUP(F7,$A$5:$D$10,4,0)</f>
        <v>5</v>
      </c>
      <c r="I7" s="11" t="n">
        <f aca="false">I6+G7</f>
        <v>11</v>
      </c>
      <c r="J7" s="11" t="n">
        <f aca="false">I7-H7</f>
        <v>6</v>
      </c>
      <c r="K7" s="11" t="n">
        <f aca="false">MAX(0,J7)</f>
        <v>6</v>
      </c>
      <c r="M7" s="9" t="s">
        <v>90</v>
      </c>
      <c r="N7" s="11" t="n">
        <f aca="false">VLOOKUP(M7,$A$5:$D$10,3,0)</f>
        <v>4</v>
      </c>
      <c r="O7" s="11" t="n">
        <f aca="false">VLOOKUP(M7,$A$5:$D$10,4,0)</f>
        <v>16</v>
      </c>
      <c r="P7" s="11" t="n">
        <f aca="false">P6+N7</f>
        <v>9</v>
      </c>
      <c r="Q7" s="11" t="n">
        <f aca="false">P7-O7</f>
        <v>-7</v>
      </c>
      <c r="R7" s="11" t="n">
        <f aca="false">MAX(0,Q7)</f>
        <v>0</v>
      </c>
      <c r="T7" s="9" t="s">
        <v>87</v>
      </c>
      <c r="U7" s="11" t="n">
        <f aca="false">VLOOKUP(T7,$A$5:$D$10,3,0)</f>
        <v>3</v>
      </c>
      <c r="V7" s="11" t="n">
        <f aca="false">VLOOKUP(T7,$A$5:$D$10,4,0)</f>
        <v>10</v>
      </c>
      <c r="W7" s="11" t="n">
        <f aca="false">W6+U7</f>
        <v>11</v>
      </c>
      <c r="X7" s="11" t="n">
        <f aca="false">W7-V7</f>
        <v>1</v>
      </c>
      <c r="Y7" s="11" t="n">
        <f aca="false">MAX(0,X7)</f>
        <v>1</v>
      </c>
    </row>
    <row r="8" customFormat="false" ht="15" hidden="false" customHeight="false" outlineLevel="0" collapsed="false">
      <c r="A8" s="9" t="s">
        <v>91</v>
      </c>
      <c r="B8" s="10" t="n">
        <v>4</v>
      </c>
      <c r="C8" s="10" t="n">
        <v>8</v>
      </c>
      <c r="D8" s="10" t="n">
        <v>20</v>
      </c>
      <c r="F8" s="9" t="s">
        <v>91</v>
      </c>
      <c r="G8" s="11" t="n">
        <f aca="false">VLOOKUP(F8,$A$5:$D$10,3,0)</f>
        <v>8</v>
      </c>
      <c r="H8" s="11" t="n">
        <f aca="false">VLOOKUP(F8,$A$5:$D$10,4,0)</f>
        <v>20</v>
      </c>
      <c r="I8" s="11" t="n">
        <f aca="false">I7+G8</f>
        <v>19</v>
      </c>
      <c r="J8" s="11" t="n">
        <f aca="false">I8-H8</f>
        <v>-1</v>
      </c>
      <c r="K8" s="11" t="n">
        <f aca="false">MAX(0,J8)</f>
        <v>0</v>
      </c>
      <c r="M8" s="9" t="s">
        <v>92</v>
      </c>
      <c r="N8" s="11" t="n">
        <f aca="false">VLOOKUP(M8,$A$5:$D$10,3,0)</f>
        <v>5</v>
      </c>
      <c r="O8" s="11" t="n">
        <f aca="false">VLOOKUP(M8,$A$5:$D$10,4,0)</f>
        <v>13</v>
      </c>
      <c r="P8" s="11" t="n">
        <f aca="false">P7+N8</f>
        <v>14</v>
      </c>
      <c r="Q8" s="11" t="n">
        <f aca="false">P8-O8</f>
        <v>1</v>
      </c>
      <c r="R8" s="11" t="n">
        <f aca="false">MAX(0,Q8)</f>
        <v>1</v>
      </c>
      <c r="T8" s="9" t="s">
        <v>92</v>
      </c>
      <c r="U8" s="11" t="n">
        <f aca="false">VLOOKUP(T8,$A$5:$D$10,3,0)</f>
        <v>5</v>
      </c>
      <c r="V8" s="11" t="n">
        <f aca="false">VLOOKUP(T8,$A$5:$D$10,4,0)</f>
        <v>13</v>
      </c>
      <c r="W8" s="11" t="n">
        <f aca="false">W7+U8</f>
        <v>16</v>
      </c>
      <c r="X8" s="11" t="n">
        <f aca="false">W8-V8</f>
        <v>3</v>
      </c>
      <c r="Y8" s="11" t="n">
        <f aca="false">MAX(0,X8)</f>
        <v>3</v>
      </c>
    </row>
    <row r="9" customFormat="false" ht="15" hidden="false" customHeight="false" outlineLevel="0" collapsed="false">
      <c r="A9" s="9" t="s">
        <v>90</v>
      </c>
      <c r="B9" s="10" t="n">
        <v>5</v>
      </c>
      <c r="C9" s="10" t="n">
        <v>4</v>
      </c>
      <c r="D9" s="10" t="n">
        <v>16</v>
      </c>
      <c r="F9" s="9" t="s">
        <v>90</v>
      </c>
      <c r="G9" s="11" t="n">
        <f aca="false">VLOOKUP(F9,$A$5:$D$10,3,0)</f>
        <v>4</v>
      </c>
      <c r="H9" s="11" t="n">
        <f aca="false">VLOOKUP(F9,$A$5:$D$10,4,0)</f>
        <v>16</v>
      </c>
      <c r="I9" s="11" t="n">
        <f aca="false">I8+G9</f>
        <v>23</v>
      </c>
      <c r="J9" s="11" t="n">
        <f aca="false">I9-H9</f>
        <v>7</v>
      </c>
      <c r="K9" s="11" t="n">
        <f aca="false">MAX(0,J9)</f>
        <v>7</v>
      </c>
      <c r="M9" s="9" t="s">
        <v>89</v>
      </c>
      <c r="N9" s="11" t="n">
        <f aca="false">VLOOKUP(M9,$A$5:$D$10,3,0)</f>
        <v>6</v>
      </c>
      <c r="O9" s="11" t="n">
        <f aca="false">VLOOKUP(M9,$A$5:$D$10,4,0)</f>
        <v>9</v>
      </c>
      <c r="P9" s="11" t="n">
        <f aca="false">P8+N9</f>
        <v>20</v>
      </c>
      <c r="Q9" s="11" t="n">
        <f aca="false">P9-O9</f>
        <v>11</v>
      </c>
      <c r="R9" s="11" t="n">
        <f aca="false">MAX(0,Q9)</f>
        <v>11</v>
      </c>
      <c r="T9" s="9" t="s">
        <v>90</v>
      </c>
      <c r="U9" s="11" t="n">
        <f aca="false">VLOOKUP(T9,$A$5:$D$10,3,0)</f>
        <v>4</v>
      </c>
      <c r="V9" s="11" t="n">
        <f aca="false">VLOOKUP(T9,$A$5:$D$10,4,0)</f>
        <v>16</v>
      </c>
      <c r="W9" s="11" t="n">
        <f aca="false">W8+U9</f>
        <v>20</v>
      </c>
      <c r="X9" s="11" t="n">
        <f aca="false">W9-V9</f>
        <v>4</v>
      </c>
      <c r="Y9" s="11" t="n">
        <f aca="false">MAX(0,X9)</f>
        <v>4</v>
      </c>
    </row>
    <row r="10" customFormat="false" ht="15" hidden="false" customHeight="false" outlineLevel="0" collapsed="false">
      <c r="A10" s="9" t="s">
        <v>92</v>
      </c>
      <c r="B10" s="10" t="n">
        <v>6</v>
      </c>
      <c r="C10" s="10" t="n">
        <v>5</v>
      </c>
      <c r="D10" s="10" t="n">
        <v>13</v>
      </c>
      <c r="F10" s="9" t="s">
        <v>92</v>
      </c>
      <c r="G10" s="11" t="n">
        <f aca="false">VLOOKUP(F10,$A$5:$D$10,3,0)</f>
        <v>5</v>
      </c>
      <c r="H10" s="11" t="n">
        <f aca="false">VLOOKUP(F10,$A$5:$D$10,4,0)</f>
        <v>13</v>
      </c>
      <c r="I10" s="11" t="n">
        <f aca="false">I9+G10</f>
        <v>28</v>
      </c>
      <c r="J10" s="11" t="n">
        <f aca="false">I10-H10</f>
        <v>15</v>
      </c>
      <c r="K10" s="11" t="n">
        <f aca="false">MAX(0,J10)</f>
        <v>15</v>
      </c>
      <c r="M10" s="9" t="s">
        <v>91</v>
      </c>
      <c r="N10" s="11" t="n">
        <f aca="false">VLOOKUP(M10,$A$5:$D$10,3,0)</f>
        <v>8</v>
      </c>
      <c r="O10" s="11" t="n">
        <f aca="false">VLOOKUP(M10,$A$5:$D$10,4,0)</f>
        <v>20</v>
      </c>
      <c r="P10" s="11" t="n">
        <f aca="false">P9+N10</f>
        <v>28</v>
      </c>
      <c r="Q10" s="11" t="n">
        <f aca="false">P10-O10</f>
        <v>8</v>
      </c>
      <c r="R10" s="11" t="n">
        <f aca="false">MAX(0,Q10)</f>
        <v>8</v>
      </c>
      <c r="T10" s="9" t="s">
        <v>91</v>
      </c>
      <c r="U10" s="11" t="n">
        <f aca="false">VLOOKUP(T10,$A$5:$D$10,3,0)</f>
        <v>8</v>
      </c>
      <c r="V10" s="11" t="n">
        <f aca="false">VLOOKUP(T10,$A$5:$D$10,4,0)</f>
        <v>20</v>
      </c>
      <c r="W10" s="11" t="n">
        <f aca="false">W9+U10</f>
        <v>28</v>
      </c>
      <c r="X10" s="11" t="n">
        <f aca="false">W10-V10</f>
        <v>8</v>
      </c>
      <c r="Y10" s="11" t="n">
        <f aca="false">MAX(0,X10)</f>
        <v>8</v>
      </c>
    </row>
    <row r="12" customFormat="false" ht="15" hidden="false" customHeight="false" outlineLevel="0" collapsed="false">
      <c r="F12" s="12" t="s">
        <v>42</v>
      </c>
      <c r="I12" s="11" t="n">
        <f aca="false">AVERAGE(I5:I10)</f>
        <v>15.5</v>
      </c>
      <c r="M12" s="12" t="s">
        <v>42</v>
      </c>
      <c r="P12" s="11" t="n">
        <f aca="false">AVERAGE(P5:P10)</f>
        <v>13</v>
      </c>
      <c r="T12" s="12" t="s">
        <v>42</v>
      </c>
      <c r="W12" s="11" t="n">
        <f aca="false">AVERAGE(W5:W10)</f>
        <v>14.1666666666667</v>
      </c>
    </row>
    <row r="13" customFormat="false" ht="15" hidden="false" customHeight="false" outlineLevel="0" collapsed="false">
      <c r="F13" s="12" t="s">
        <v>43</v>
      </c>
      <c r="I13" s="11" t="n">
        <f aca="false">AVERAGE(K5:K10)</f>
        <v>4.66666666666667</v>
      </c>
      <c r="M13" s="12" t="s">
        <v>43</v>
      </c>
      <c r="P13" s="11" t="n">
        <f aca="false">AVERAGE(R5:R10)</f>
        <v>3.33333333333333</v>
      </c>
      <c r="T13" s="12" t="s">
        <v>43</v>
      </c>
      <c r="W13" s="11" t="n">
        <f aca="false">AVERAGE(Y5:Y10)</f>
        <v>2.66666666666667</v>
      </c>
    </row>
    <row r="14" customFormat="false" ht="15" hidden="false" customHeight="false" outlineLevel="0" collapsed="false">
      <c r="F14" s="12" t="s">
        <v>44</v>
      </c>
      <c r="I14" s="11" t="n">
        <f aca="false">COUNTIF(K5:K10,"&gt;0")</f>
        <v>3</v>
      </c>
      <c r="M14" s="12" t="s">
        <v>44</v>
      </c>
      <c r="P14" s="11" t="n">
        <f aca="false">COUNTIF(R5:R10,"&gt;0")</f>
        <v>3</v>
      </c>
      <c r="T14" s="12" t="s">
        <v>44</v>
      </c>
      <c r="W14" s="11" t="n">
        <f aca="false">COUNTIF(Y5:Y10,"&gt;0")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8"/>
    <col collapsed="false" customWidth="true" hidden="false" outlineLevel="0" max="5" min="5" style="0" width="3"/>
    <col collapsed="false" customWidth="true" hidden="false" outlineLevel="0" max="6" min="6" style="0" width="10"/>
  </cols>
  <sheetData>
    <row r="1" customFormat="false" ht="21.6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12" t="s">
        <v>62</v>
      </c>
    </row>
    <row r="5" customFormat="false" ht="17.15" hidden="false" customHeight="false" outlineLevel="0" collapsed="false">
      <c r="B5" s="3" t="s">
        <v>63</v>
      </c>
      <c r="C5" s="3" t="s">
        <v>64</v>
      </c>
      <c r="D5" s="3" t="s">
        <v>65</v>
      </c>
      <c r="F5" s="12" t="s">
        <v>72</v>
      </c>
    </row>
    <row r="6" customFormat="false" ht="15" hidden="false" customHeight="false" outlineLevel="0" collapsed="false">
      <c r="A6" s="4" t="s">
        <v>95</v>
      </c>
      <c r="B6" s="10" t="n">
        <v>8</v>
      </c>
      <c r="C6" s="10" t="n">
        <v>6</v>
      </c>
      <c r="D6" s="10" t="n">
        <v>5</v>
      </c>
      <c r="F6" s="11" t="n">
        <f aca="false">MIN(B6:D6)</f>
        <v>5</v>
      </c>
    </row>
    <row r="7" customFormat="false" ht="15" hidden="false" customHeight="false" outlineLevel="0" collapsed="false">
      <c r="A7" s="4" t="s">
        <v>96</v>
      </c>
      <c r="B7" s="10" t="n">
        <v>6</v>
      </c>
      <c r="C7" s="10" t="n">
        <v>7</v>
      </c>
      <c r="D7" s="10" t="n">
        <v>9</v>
      </c>
      <c r="F7" s="11" t="n">
        <f aca="false">MIN(B7:D7)</f>
        <v>6</v>
      </c>
    </row>
    <row r="8" customFormat="false" ht="15" hidden="false" customHeight="false" outlineLevel="0" collapsed="false">
      <c r="A8" s="4" t="s">
        <v>97</v>
      </c>
      <c r="B8" s="10" t="n">
        <v>5</v>
      </c>
      <c r="C8" s="10" t="n">
        <v>5</v>
      </c>
      <c r="D8" s="10" t="n">
        <v>4</v>
      </c>
      <c r="F8" s="11" t="n">
        <f aca="false">MIN(B8:D8)</f>
        <v>4</v>
      </c>
    </row>
    <row r="11" customFormat="false" ht="15" hidden="false" customHeight="false" outlineLevel="0" collapsed="false">
      <c r="A11" s="12" t="s">
        <v>98</v>
      </c>
    </row>
    <row r="12" customFormat="false" ht="17.15" hidden="false" customHeight="false" outlineLevel="0" collapsed="false">
      <c r="B12" s="3" t="s">
        <v>63</v>
      </c>
      <c r="C12" s="3" t="s">
        <v>64</v>
      </c>
      <c r="D12" s="3" t="s">
        <v>65</v>
      </c>
    </row>
    <row r="13" customFormat="false" ht="15" hidden="false" customHeight="false" outlineLevel="0" collapsed="false">
      <c r="A13" s="14" t="s">
        <v>95</v>
      </c>
      <c r="B13" s="11" t="n">
        <f aca="false">B6-$F$6</f>
        <v>3</v>
      </c>
      <c r="C13" s="11" t="n">
        <f aca="false">C6-$F$6</f>
        <v>1</v>
      </c>
      <c r="D13" s="11" t="n">
        <f aca="false">D6-$F$6</f>
        <v>0</v>
      </c>
    </row>
    <row r="14" customFormat="false" ht="15" hidden="false" customHeight="false" outlineLevel="0" collapsed="false">
      <c r="A14" s="14" t="s">
        <v>96</v>
      </c>
      <c r="B14" s="11" t="n">
        <f aca="false">B7-$F$7</f>
        <v>0</v>
      </c>
      <c r="C14" s="11" t="n">
        <f aca="false">C7-$F$7</f>
        <v>1</v>
      </c>
      <c r="D14" s="11" t="n">
        <f aca="false">D7-$F$7</f>
        <v>3</v>
      </c>
    </row>
    <row r="15" customFormat="false" ht="15" hidden="false" customHeight="false" outlineLevel="0" collapsed="false">
      <c r="A15" s="14" t="s">
        <v>97</v>
      </c>
      <c r="B15" s="11" t="n">
        <f aca="false">B8-$F$8</f>
        <v>1</v>
      </c>
      <c r="C15" s="11" t="n">
        <f aca="false">C8-$F$8</f>
        <v>1</v>
      </c>
      <c r="D15" s="11" t="n">
        <f aca="false">D8-$F$8</f>
        <v>0</v>
      </c>
    </row>
    <row r="17" customFormat="false" ht="15" hidden="false" customHeight="false" outlineLevel="0" collapsed="false">
      <c r="B17" s="11" t="n">
        <f aca="false">MIN(B13:B15)</f>
        <v>0</v>
      </c>
      <c r="C17" s="11" t="n">
        <f aca="false">MIN(C13:C15)</f>
        <v>1</v>
      </c>
      <c r="D17" s="11" t="n">
        <f aca="false">MIN(D13:D15)</f>
        <v>0</v>
      </c>
      <c r="F17" s="12" t="s">
        <v>73</v>
      </c>
    </row>
    <row r="19" customFormat="false" ht="15" hidden="false" customHeight="false" outlineLevel="0" collapsed="false">
      <c r="A19" s="12" t="s">
        <v>99</v>
      </c>
    </row>
    <row r="20" customFormat="false" ht="17.15" hidden="false" customHeight="false" outlineLevel="0" collapsed="false">
      <c r="B20" s="3" t="s">
        <v>63</v>
      </c>
      <c r="C20" s="3" t="s">
        <v>64</v>
      </c>
      <c r="D20" s="3" t="s">
        <v>65</v>
      </c>
    </row>
    <row r="21" customFormat="false" ht="15" hidden="false" customHeight="false" outlineLevel="0" collapsed="false">
      <c r="A21" s="14" t="s">
        <v>95</v>
      </c>
      <c r="B21" s="11" t="n">
        <f aca="false">B13-B$17</f>
        <v>3</v>
      </c>
      <c r="C21" s="11" t="n">
        <f aca="false">C13-C$17</f>
        <v>0</v>
      </c>
      <c r="D21" s="11" t="n">
        <f aca="false">D13-D$17</f>
        <v>0</v>
      </c>
    </row>
    <row r="22" customFormat="false" ht="15" hidden="false" customHeight="false" outlineLevel="0" collapsed="false">
      <c r="A22" s="14" t="s">
        <v>96</v>
      </c>
      <c r="B22" s="11" t="n">
        <f aca="false">B14-B$17</f>
        <v>0</v>
      </c>
      <c r="C22" s="11" t="n">
        <f aca="false">C14-C$17</f>
        <v>0</v>
      </c>
      <c r="D22" s="11" t="n">
        <f aca="false">D14-D$17</f>
        <v>3</v>
      </c>
    </row>
    <row r="23" customFormat="false" ht="15" hidden="false" customHeight="false" outlineLevel="0" collapsed="false">
      <c r="A23" s="14" t="s">
        <v>97</v>
      </c>
      <c r="B23" s="11" t="n">
        <f aca="false">B15-B$17</f>
        <v>1</v>
      </c>
      <c r="C23" s="11" t="n">
        <f aca="false">C15-C$17</f>
        <v>0</v>
      </c>
      <c r="D23" s="11" t="n">
        <f aca="false">D15-D$17</f>
        <v>0</v>
      </c>
    </row>
    <row r="25" customFormat="false" ht="17.15" hidden="false" customHeight="false" outlineLevel="0" collapsed="false">
      <c r="A25" s="14" t="s">
        <v>100</v>
      </c>
    </row>
    <row r="26" customFormat="false" ht="17.15" hidden="false" customHeight="false" outlineLevel="0" collapsed="false">
      <c r="A26" s="12" t="s">
        <v>78</v>
      </c>
      <c r="B26" s="11" t="n">
        <f aca="false">D6+B7+C8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2026-09-15T09:52:55Z</dcterms:created>
  <dc:creator>openpyxl</dc:creator>
  <dc:description/>
  <dc:language>en-US</dc:language>
  <cp:lastModifiedBy/>
  <dcterms:modified xsi:type="dcterms:W3CDTF">2026-09-15T09:53:00Z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