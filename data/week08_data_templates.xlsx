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資料彙整" sheetId="1" state="visible" r:id="rId3"/>
    <sheet name="01_MM1與MMs性能矩陣" sheetId="2" state="visible" r:id="rId4"/>
    <sheet name="02_MMsK有限隊列計算表" sheetId="3" state="visible" r:id="rId5"/>
    <sheet name="03_邊際改善與成本效益曲線" sheetId="4" state="visible" r:id="rId6"/>
    <sheet name="04_練習1_MM1" sheetId="5" state="visible" r:id="rId7"/>
    <sheet name="05_練習2_MMs成本效益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<sst xmlns="http://schemas.openxmlformats.org/spreadsheetml/2006/main" count="99" uniqueCount="74">
  <si>
    <r>
      <rPr>
        <b val="true"/>
        <sz val="14"/>
        <rFont val="Noto Sans CJK SC"/>
        <family val="2"/>
      </rPr>
      <t xml:space="preserve">第</t>
    </r>
    <r>
      <rPr>
        <b val="true"/>
        <sz val="14"/>
        <rFont val="Arial"/>
        <family val="0"/>
        <charset val="1"/>
      </rPr>
      <t xml:space="preserve">8</t>
    </r>
    <r>
      <rPr>
        <b val="true"/>
        <sz val="14"/>
        <rFont val="Noto Sans CJK SC"/>
        <family val="2"/>
      </rPr>
      <t xml:space="preserve">週 等候線理論 — 本週模擬資料集彙整</t>
    </r>
  </si>
  <si>
    <t xml:space="preserve">以下為本週講義中所有模擬資料集，供學員自行複製至其他工作表練習使用。</t>
  </si>
  <si>
    <t xml:space="preserve">資料集名稱</t>
  </si>
  <si>
    <t xml:space="preserve">用途</t>
  </si>
  <si>
    <t xml:space="preserve">摘要</t>
  </si>
  <si>
    <r>
      <rPr>
        <sz val="11"/>
        <color theme="1"/>
        <rFont val="Noto Sans CJK SC"/>
        <family val="2"/>
      </rPr>
      <t xml:space="preserve">前進基地加油站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單槍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</si>
  <si>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M/M/1</t>
    </r>
    <r>
      <rPr>
        <sz val="11"/>
        <color theme="1"/>
        <rFont val="Noto Sans CJK SC"/>
        <family val="2"/>
      </rPr>
      <t xml:space="preserve">主範例</t>
    </r>
  </si>
  <si>
    <r>
      <rPr>
        <sz val="11"/>
        <color theme="1"/>
        <rFont val="Calibri"/>
        <family val="2"/>
        <charset val="1"/>
      </rPr>
      <t xml:space="preserve">λ=8,μ=10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Wq=24</t>
    </r>
    <r>
      <rPr>
        <sz val="11"/>
        <color theme="1"/>
        <rFont val="Noto Sans CJK SC"/>
        <family val="2"/>
      </rPr>
      <t xml:space="preserve">分鐘</t>
    </r>
  </si>
  <si>
    <r>
      <rPr>
        <sz val="11"/>
        <color theme="1"/>
        <rFont val="Noto Sans CJK SC"/>
        <family val="2"/>
      </rPr>
      <t xml:space="preserve">前進基地加油站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多槍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</si>
  <si>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M/M/s</t>
    </r>
    <r>
      <rPr>
        <sz val="11"/>
        <color theme="1"/>
        <rFont val="Noto Sans CJK SC"/>
        <family val="2"/>
      </rPr>
      <t xml:space="preserve">主範例</t>
    </r>
  </si>
  <si>
    <r>
      <rPr>
        <sz val="11"/>
        <color theme="1"/>
        <rFont val="Calibri"/>
        <family val="2"/>
        <charset val="1"/>
      </rPr>
      <t xml:space="preserve">λ=8,μ=5/</t>
    </r>
    <r>
      <rPr>
        <sz val="11"/>
        <color theme="1"/>
        <rFont val="Noto Sans CJK SC"/>
        <family val="2"/>
      </rPr>
      <t xml:space="preserve">槍，</t>
    </r>
    <r>
      <rPr>
        <sz val="11"/>
        <color theme="1"/>
        <rFont val="Calibri"/>
        <family val="2"/>
        <charset val="1"/>
      </rPr>
      <t xml:space="preserve">s=2~5</t>
    </r>
    <r>
      <rPr>
        <sz val="11"/>
        <color theme="1"/>
        <rFont val="Noto Sans CJK SC"/>
        <family val="2"/>
      </rPr>
      <t xml:space="preserve">比較</t>
    </r>
  </si>
  <si>
    <t xml:space="preserve">加油站有限容量</t>
  </si>
  <si>
    <r>
      <rPr>
        <sz val="11"/>
        <color theme="1"/>
        <rFont val="Calibri"/>
        <family val="2"/>
        <charset val="1"/>
      </rPr>
      <t xml:space="preserve">M/M/s/K</t>
    </r>
    <r>
      <rPr>
        <sz val="11"/>
        <color theme="1"/>
        <rFont val="Noto Sans CJK SC"/>
        <family val="2"/>
      </rPr>
      <t xml:space="preserve">主範例</t>
    </r>
  </si>
  <si>
    <r>
      <rPr>
        <sz val="11"/>
        <color theme="1"/>
        <rFont val="Calibri"/>
        <family val="2"/>
        <charset val="1"/>
      </rPr>
      <t xml:space="preserve">s=2,K=5,</t>
    </r>
    <r>
      <rPr>
        <sz val="11"/>
        <color theme="1"/>
        <rFont val="Noto Sans CJK SC"/>
        <family val="2"/>
      </rPr>
      <t xml:space="preserve">阻塞率</t>
    </r>
    <r>
      <rPr>
        <sz val="11"/>
        <color theme="1"/>
        <rFont val="Calibri"/>
        <family val="2"/>
        <charset val="1"/>
      </rPr>
      <t xml:space="preserve">10.27%</t>
    </r>
  </si>
  <si>
    <t xml:space="preserve">加油站成本效益</t>
  </si>
  <si>
    <t xml:space="preserve">成本效益折衷主範例</t>
  </si>
  <si>
    <r>
      <rPr>
        <sz val="11"/>
        <color theme="1"/>
        <rFont val="Calibri"/>
        <family val="2"/>
        <charset val="1"/>
      </rPr>
      <t xml:space="preserve">Cs=30,Cw=25</t>
    </r>
    <r>
      <rPr>
        <sz val="11"/>
        <color theme="1"/>
        <rFont val="Noto Sans CJK SC"/>
        <family val="2"/>
      </rPr>
      <t xml:space="preserve">，最適</t>
    </r>
    <r>
      <rPr>
        <sz val="11"/>
        <color theme="1"/>
        <rFont val="Calibri"/>
        <family val="2"/>
        <charset val="1"/>
      </rPr>
      <t xml:space="preserve">s=3</t>
    </r>
  </si>
  <si>
    <t xml:space="preserve">通信封包節點</t>
  </si>
  <si>
    <t xml:space="preserve">延伸練習一</t>
  </si>
  <si>
    <r>
      <rPr>
        <sz val="11"/>
        <color theme="1"/>
        <rFont val="Calibri"/>
        <family val="2"/>
        <charset val="1"/>
      </rPr>
      <t xml:space="preserve">λ=45,μ=60(</t>
    </r>
    <r>
      <rPr>
        <sz val="11"/>
        <color theme="1"/>
        <rFont val="Noto Sans CJK SC"/>
        <family val="2"/>
      </rPr>
      <t xml:space="preserve">秒</t>
    </r>
    <r>
      <rPr>
        <sz val="11"/>
        <color theme="1"/>
        <rFont val="Calibri"/>
        <family val="2"/>
        <charset val="1"/>
      </rPr>
      <t xml:space="preserve">)</t>
    </r>
  </si>
  <si>
    <t xml:space="preserve">野戰醫院檢傷站</t>
  </si>
  <si>
    <t xml:space="preserve">延伸練習二</t>
  </si>
  <si>
    <r>
      <rPr>
        <sz val="11"/>
        <color theme="1"/>
        <rFont val="Calibri"/>
        <family val="2"/>
        <charset val="1"/>
      </rPr>
      <t xml:space="preserve">λ=6,μ=2.5/</t>
    </r>
    <r>
      <rPr>
        <sz val="11"/>
        <color theme="1"/>
        <rFont val="Noto Sans CJK SC"/>
        <family val="2"/>
      </rPr>
      <t xml:space="preserve">醫官，最適</t>
    </r>
    <r>
      <rPr>
        <sz val="11"/>
        <color theme="1"/>
        <rFont val="Calibri"/>
        <family val="2"/>
        <charset val="1"/>
      </rPr>
      <t xml:space="preserve">s=4</t>
    </r>
  </si>
  <si>
    <r>
      <rPr>
        <b val="true"/>
        <sz val="14"/>
        <rFont val="Noto Sans CJK SC"/>
        <family val="2"/>
      </rPr>
      <t xml:space="preserve">到達率</t>
    </r>
    <r>
      <rPr>
        <b val="true"/>
        <sz val="14"/>
        <rFont val="Arial"/>
        <family val="0"/>
        <charset val="1"/>
      </rPr>
      <t xml:space="preserve">λ</t>
    </r>
  </si>
  <si>
    <r>
      <rPr>
        <b val="true"/>
        <sz val="11"/>
        <color rgb="FF000000"/>
        <rFont val="Noto Sans CJK SC"/>
        <family val="2"/>
      </rPr>
      <t xml:space="preserve">到達率</t>
    </r>
    <r>
      <rPr>
        <b val="true"/>
        <sz val="11"/>
        <color rgb="FF000000"/>
        <rFont val="Arial"/>
        <family val="0"/>
        <charset val="1"/>
      </rPr>
      <t xml:space="preserve">λ</t>
    </r>
  </si>
  <si>
    <r>
      <rPr>
        <b val="true"/>
        <sz val="11"/>
        <color rgb="FF000000"/>
        <rFont val="Noto Sans CJK SC"/>
        <family val="2"/>
      </rPr>
      <t xml:space="preserve">服務率</t>
    </r>
    <r>
      <rPr>
        <b val="true"/>
        <sz val="11"/>
        <color rgb="FF000000"/>
        <rFont val="Arial"/>
        <family val="0"/>
        <charset val="1"/>
      </rPr>
      <t xml:space="preserve">μ(</t>
    </r>
    <r>
      <rPr>
        <b val="true"/>
        <sz val="11"/>
        <color rgb="FF000000"/>
        <rFont val="Noto Sans CJK SC"/>
        <family val="2"/>
      </rPr>
      <t xml:space="preserve">單台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</si>
  <si>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Noto Sans CJK SC"/>
        <family val="2"/>
      </rPr>
      <t xml:space="preserve">補充：</t>
    </r>
    <r>
      <rPr>
        <b val="true"/>
        <sz val="11"/>
        <color rgb="FF000000"/>
        <rFont val="Arial"/>
        <family val="0"/>
        <charset val="1"/>
      </rPr>
      <t xml:space="preserve">M/M/1</t>
    </r>
    <r>
      <rPr>
        <b val="true"/>
        <sz val="11"/>
        <color rgb="FF000000"/>
        <rFont val="Noto Sans CJK SC"/>
        <family val="2"/>
      </rPr>
      <t xml:space="preserve">單槍情境</t>
    </r>
    <r>
      <rPr>
        <b val="true"/>
        <sz val="11"/>
        <color rgb="FF000000"/>
        <rFont val="Arial"/>
        <family val="0"/>
        <charset val="1"/>
      </rPr>
      <t xml:space="preserve">(μ=10)</t>
    </r>
  </si>
  <si>
    <r>
      <rPr>
        <i val="true"/>
        <sz val="9"/>
        <color rgb="FF666666"/>
        <rFont val="Noto Sans CJK SC"/>
        <family val="2"/>
      </rPr>
      <t xml:space="preserve">說明：</t>
    </r>
    <r>
      <rPr>
        <i val="true"/>
        <sz val="9"/>
        <color rgb="FF666666"/>
        <rFont val="Arial"/>
        <family val="0"/>
        <charset val="1"/>
      </rPr>
      <t xml:space="preserve">J3:Q3</t>
    </r>
    <r>
      <rPr>
        <i val="true"/>
        <sz val="9"/>
        <color rgb="FF666666"/>
        <rFont val="Noto Sans CJK SC"/>
        <family val="2"/>
      </rPr>
      <t xml:space="preserve">為</t>
    </r>
    <r>
      <rPr>
        <i val="true"/>
        <sz val="9"/>
        <color rgb="FF666666"/>
        <rFont val="Arial"/>
        <family val="0"/>
        <charset val="1"/>
      </rPr>
      <t xml:space="preserve">n</t>
    </r>
    <r>
      <rPr>
        <i val="true"/>
        <sz val="9"/>
        <color rgb="FF666666"/>
        <rFont val="Noto Sans CJK SC"/>
        <family val="2"/>
      </rPr>
      <t xml:space="preserve">索引</t>
    </r>
    <r>
      <rPr>
        <i val="true"/>
        <sz val="9"/>
        <color rgb="FF666666"/>
        <rFont val="Arial"/>
        <family val="0"/>
        <charset val="1"/>
      </rPr>
      <t xml:space="preserve">(0-7)</t>
    </r>
    <r>
      <rPr>
        <i val="true"/>
        <sz val="9"/>
        <color rgb="FF666666"/>
        <rFont val="Noto Sans CJK SC"/>
        <family val="2"/>
      </rPr>
      <t xml:space="preserve">，</t>
    </r>
    <r>
      <rPr>
        <i val="true"/>
        <sz val="9"/>
        <color rgb="FF666666"/>
        <rFont val="Arial"/>
        <family val="0"/>
        <charset val="1"/>
      </rPr>
      <t xml:space="preserve">J4:Q4</t>
    </r>
    <r>
      <rPr>
        <i val="true"/>
        <sz val="9"/>
        <color rgb="FF666666"/>
        <rFont val="Noto Sans CJK SC"/>
        <family val="2"/>
      </rPr>
      <t xml:space="preserve">為對應項值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與</t>
    </r>
    <r>
      <rPr>
        <i val="true"/>
        <sz val="9"/>
        <color rgb="FF666666"/>
        <rFont val="Arial"/>
        <family val="0"/>
        <charset val="1"/>
      </rPr>
      <t xml:space="preserve">s</t>
    </r>
    <r>
      <rPr>
        <i val="true"/>
        <sz val="9"/>
        <color rgb="FF666666"/>
        <rFont val="Noto Sans CJK SC"/>
        <family val="2"/>
      </rPr>
      <t xml:space="preserve">無關</t>
    </r>
    <r>
      <rPr>
        <i val="true"/>
        <sz val="9"/>
        <color rgb="FF666666"/>
        <rFont val="Arial"/>
        <family val="0"/>
        <charset val="1"/>
      </rPr>
      <t xml:space="preserve">)</t>
    </r>
    <r>
      <rPr>
        <i val="true"/>
        <sz val="9"/>
        <color rgb="FF666666"/>
        <rFont val="Noto Sans CJK SC"/>
        <family val="2"/>
      </rPr>
      <t xml:space="preserve">；</t>
    </r>
    <r>
      <rPr>
        <i val="true"/>
        <sz val="9"/>
        <color rgb="FF666666"/>
        <rFont val="Arial"/>
        <family val="0"/>
        <charset val="1"/>
      </rPr>
      <t xml:space="preserve">B</t>
    </r>
    <r>
      <rPr>
        <i val="true"/>
        <sz val="9"/>
        <color rgb="FF666666"/>
        <rFont val="Noto Sans CJK SC"/>
        <family val="2"/>
      </rPr>
      <t xml:space="preserve">欄起以</t>
    </r>
    <r>
      <rPr>
        <i val="true"/>
        <sz val="9"/>
        <color rgb="FF666666"/>
        <rFont val="Arial"/>
        <family val="0"/>
        <charset val="1"/>
      </rPr>
      <t xml:space="preserve">SUMPRODUCT</t>
    </r>
    <r>
      <rPr>
        <i val="true"/>
        <sz val="9"/>
        <color rgb="FF666666"/>
        <rFont val="Noto Sans CJK SC"/>
        <family val="2"/>
      </rPr>
      <t xml:space="preserve">遮罩加總</t>
    </r>
    <r>
      <rPr>
        <i val="true"/>
        <sz val="9"/>
        <color rgb="FF666666"/>
        <rFont val="Arial"/>
        <family val="0"/>
        <charset val="1"/>
      </rPr>
      <t xml:space="preserve">n&lt;s</t>
    </r>
    <r>
      <rPr>
        <i val="true"/>
        <sz val="9"/>
        <color rgb="FF666666"/>
        <rFont val="Noto Sans CJK SC"/>
        <family val="2"/>
      </rPr>
      <t xml:space="preserve">之項，計算</t>
    </r>
    <r>
      <rPr>
        <i val="true"/>
        <sz val="9"/>
        <color rgb="FF666666"/>
        <rFont val="Arial"/>
        <family val="0"/>
        <charset val="1"/>
      </rPr>
      <t xml:space="preserve">P0</t>
    </r>
    <r>
      <rPr>
        <i val="true"/>
        <sz val="9"/>
        <color rgb="FF666666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</si>
  <si>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μ(</t>
    </r>
    <r>
      <rPr>
        <sz val="11"/>
        <color theme="1"/>
        <rFont val="Noto Sans CJK SC"/>
        <family val="2"/>
      </rPr>
      <t xml:space="preserve">單槍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</si>
  <si>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color rgb="FF000000"/>
        <rFont val="Arial"/>
        <family val="0"/>
        <charset val="1"/>
      </rPr>
      <t xml:space="preserve">n</t>
    </r>
    <r>
      <rPr>
        <b val="true"/>
        <sz val="11"/>
        <color rgb="FF000000"/>
        <rFont val="Noto Sans CJK SC"/>
        <family val="2"/>
      </rPr>
      <t xml:space="preserve">索引</t>
    </r>
  </si>
  <si>
    <t xml:space="preserve">ρ</t>
  </si>
  <si>
    <r>
      <rPr>
        <b val="true"/>
        <sz val="11"/>
        <color rgb="FF000000"/>
        <rFont val="Noto Sans CJK SC"/>
        <family val="2"/>
      </rPr>
      <t xml:space="preserve">項值</t>
    </r>
    <r>
      <rPr>
        <b val="true"/>
        <sz val="11"/>
        <color rgb="FF000000"/>
        <rFont val="Arial"/>
        <family val="0"/>
        <charset val="1"/>
      </rPr>
      <t xml:space="preserve">(λ/μ)^n/n!</t>
    </r>
  </si>
  <si>
    <t xml:space="preserve">P0</t>
  </si>
  <si>
    <t xml:space="preserve">L</t>
  </si>
  <si>
    <r>
      <rPr>
        <b val="true"/>
        <sz val="11"/>
        <color rgb="FFFFFFFF"/>
        <rFont val="Arial"/>
        <family val="0"/>
        <charset val="1"/>
      </rPr>
      <t xml:space="preserve">s(</t>
    </r>
    <r>
      <rPr>
        <b val="true"/>
        <sz val="11"/>
        <color rgb="FFFFFFFF"/>
        <rFont val="Noto Sans CJK SC"/>
        <family val="2"/>
      </rPr>
      <t xml:space="preserve">服務台數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</si>
  <si>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Lq</t>
  </si>
  <si>
    <r>
      <rPr>
        <b val="true"/>
        <sz val="11"/>
        <color rgb="FFFFFFFF"/>
        <rFont val="Arial"/>
        <family val="0"/>
        <charset val="1"/>
      </rPr>
      <t xml:space="preserve">Wq(</t>
    </r>
    <r>
      <rPr>
        <b val="true"/>
        <sz val="11"/>
        <color rgb="FFFFFFFF"/>
        <rFont val="Noto Sans CJK SC"/>
        <family val="2"/>
      </rPr>
      <t xml:space="preserve">小時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</si>
  <si>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W(</t>
    </r>
    <r>
      <rPr>
        <b val="true"/>
        <sz val="11"/>
        <color rgb="FFFFFFFF"/>
        <rFont val="Noto Sans CJK SC"/>
        <family val="2"/>
      </rPr>
      <t xml:space="preserve">小時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</si>
  <si>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W(</t>
    </r>
    <r>
      <rPr>
        <sz val="11"/>
        <color theme="1"/>
        <rFont val="Noto Sans CJK SC"/>
        <family val="2"/>
      </rPr>
      <t xml:space="preserve">小時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</si>
  <si>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Wq(</t>
    </r>
    <r>
      <rPr>
        <sz val="11"/>
        <color theme="1"/>
        <rFont val="Noto Sans CJK SC"/>
        <family val="2"/>
      </rPr>
      <t xml:space="preserve">小時</t>
    </r>
    <r>
      <rPr>
        <sz val="11"/>
        <color theme="1"/>
        <rFont val="Calibri"/>
        <family val="2"/>
        <charset val="1"/>
      </rPr>
      <t xml:space="preserve">)</t>
    </r>
  </si>
  <si>
    <t xml:space="preserve">λ</t>
  </si>
  <si>
    <t xml:space="preserve">μ</t>
  </si>
  <si>
    <t xml:space="preserve">s</t>
  </si>
  <si>
    <t xml:space="preserve">K</t>
  </si>
  <si>
    <t xml:space="preserve">n</t>
  </si>
  <si>
    <t xml:space="preserve">相對權重</t>
  </si>
  <si>
    <t xml:space="preserve">Pn</t>
  </si>
  <si>
    <t xml:space="preserve">示範三：邊際改善曲線與成本效益折衷分析</t>
  </si>
  <si>
    <r>
      <rPr>
        <sz val="11"/>
        <color theme="1"/>
        <rFont val="Noto Sans CJK SC"/>
        <family val="2"/>
      </rPr>
      <t xml:space="preserve">到達率</t>
    </r>
    <r>
      <rPr>
        <sz val="11"/>
        <color theme="1"/>
        <rFont val="Calibri"/>
        <family val="2"/>
        <charset val="1"/>
      </rPr>
      <t xml:space="preserve">λ</t>
    </r>
  </si>
  <si>
    <r>
      <rPr>
        <sz val="11"/>
        <color theme="1"/>
        <rFont val="Noto Sans CJK SC"/>
        <family val="2"/>
      </rPr>
      <t xml:space="preserve">服務率</t>
    </r>
    <r>
      <rPr>
        <sz val="11"/>
        <color theme="1"/>
        <rFont val="Calibri"/>
        <family val="2"/>
        <charset val="1"/>
      </rPr>
      <t xml:space="preserve">μ</t>
    </r>
  </si>
  <si>
    <r>
      <rPr>
        <sz val="11"/>
        <color theme="1"/>
        <rFont val="Noto Sans CJK SC"/>
        <family val="2"/>
      </rPr>
      <t xml:space="preserve">服務台成本</t>
    </r>
    <r>
      <rPr>
        <sz val="11"/>
        <color theme="1"/>
        <rFont val="Calibri"/>
        <family val="2"/>
        <charset val="1"/>
      </rPr>
      <t xml:space="preserve">Cs</t>
    </r>
  </si>
  <si>
    <r>
      <rPr>
        <i val="true"/>
        <sz val="9"/>
        <color rgb="FF666666"/>
        <rFont val="Noto Sans CJK SC"/>
        <family val="2"/>
      </rPr>
      <t xml:space="preserve">說明：延續</t>
    </r>
    <r>
      <rPr>
        <i val="true"/>
        <sz val="9"/>
        <color rgb="FF666666"/>
        <rFont val="Arial"/>
        <family val="0"/>
        <charset val="1"/>
      </rPr>
      <t xml:space="preserve">M/M/s</t>
    </r>
    <r>
      <rPr>
        <i val="true"/>
        <sz val="9"/>
        <color rgb="FF666666"/>
        <rFont val="Noto Sans CJK SC"/>
        <family val="2"/>
      </rPr>
      <t xml:space="preserve">矩陣邏輯，</t>
    </r>
    <r>
      <rPr>
        <i val="true"/>
        <sz val="9"/>
        <color rgb="FF666666"/>
        <rFont val="Arial"/>
        <family val="0"/>
        <charset val="1"/>
      </rPr>
      <t xml:space="preserve">B1/E1</t>
    </r>
    <r>
      <rPr>
        <i val="true"/>
        <sz val="9"/>
        <color rgb="FF666666"/>
        <rFont val="Noto Sans CJK SC"/>
        <family val="2"/>
      </rPr>
      <t xml:space="preserve">為</t>
    </r>
    <r>
      <rPr>
        <i val="true"/>
        <sz val="9"/>
        <color rgb="FF666666"/>
        <rFont val="Arial"/>
        <family val="0"/>
        <charset val="1"/>
      </rPr>
      <t xml:space="preserve">λ,μ</t>
    </r>
    <r>
      <rPr>
        <i val="true"/>
        <sz val="9"/>
        <color rgb="FF666666"/>
        <rFont val="Noto Sans CJK SC"/>
        <family val="2"/>
      </rPr>
      <t xml:space="preserve">；</t>
    </r>
    <r>
      <rPr>
        <i val="true"/>
        <sz val="9"/>
        <color rgb="FF666666"/>
        <rFont val="Arial"/>
        <family val="0"/>
        <charset val="1"/>
      </rPr>
      <t xml:space="preserve">H1/H2</t>
    </r>
    <r>
      <rPr>
        <i val="true"/>
        <sz val="9"/>
        <color rgb="FF666666"/>
        <rFont val="Noto Sans CJK SC"/>
        <family val="2"/>
      </rPr>
      <t xml:space="preserve">為</t>
    </r>
    <r>
      <rPr>
        <i val="true"/>
        <sz val="9"/>
        <color rgb="FF666666"/>
        <rFont val="Arial"/>
        <family val="0"/>
        <charset val="1"/>
      </rPr>
      <t xml:space="preserve">Cs,Cw</t>
    </r>
    <r>
      <rPr>
        <i val="true"/>
        <sz val="9"/>
        <color rgb="FF666666"/>
        <rFont val="Noto Sans CJK SC"/>
        <family val="2"/>
      </rPr>
      <t xml:space="preserve">；下表計算</t>
    </r>
    <r>
      <rPr>
        <i val="true"/>
        <sz val="9"/>
        <color rgb="FF666666"/>
        <rFont val="Arial"/>
        <family val="0"/>
        <charset val="1"/>
      </rPr>
      <t xml:space="preserve">s=2~8</t>
    </r>
    <r>
      <rPr>
        <i val="true"/>
        <sz val="9"/>
        <color rgb="FF666666"/>
        <rFont val="Noto Sans CJK SC"/>
        <family val="2"/>
      </rPr>
      <t xml:space="preserve">之總成本並自動標示最適</t>
    </r>
    <r>
      <rPr>
        <i val="true"/>
        <sz val="9"/>
        <color rgb="FF666666"/>
        <rFont val="Arial"/>
        <family val="0"/>
        <charset val="1"/>
      </rPr>
      <t xml:space="preserve">s</t>
    </r>
    <r>
      <rPr>
        <i val="true"/>
        <sz val="9"/>
        <color rgb="FF666666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</si>
  <si>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等候成本</t>
    </r>
    <r>
      <rPr>
        <sz val="11"/>
        <color theme="1"/>
        <rFont val="Calibri"/>
        <family val="2"/>
        <charset val="1"/>
      </rPr>
      <t xml:space="preserve">Cw</t>
    </r>
  </si>
  <si>
    <r>
      <rPr>
        <b val="true"/>
        <sz val="11"/>
        <color rgb="FFFFFFFF"/>
        <rFont val="Arial"/>
        <family val="0"/>
        <charset val="1"/>
      </rPr>
      <t xml:space="preserve">Wq(</t>
    </r>
    <r>
      <rPr>
        <b val="true"/>
        <sz val="11"/>
        <color rgb="FFFFFFFF"/>
        <rFont val="Noto Sans CJK SC"/>
        <family val="2"/>
      </rPr>
      <t xml:space="preserve">分鐘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</si>
  <si>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W</t>
  </si>
  <si>
    <t xml:space="preserve">服務台成本</t>
  </si>
  <si>
    <t xml:space="preserve">等候成本</t>
  </si>
  <si>
    <t xml:space="preserve">總成本</t>
  </si>
  <si>
    <t xml:space="preserve">最適服務台數</t>
  </si>
  <si>
    <t xml:space="preserve">最低總成本</t>
  </si>
  <si>
    <r>
      <rPr>
        <b val="true"/>
        <sz val="14"/>
        <rFont val="Noto Sans CJK SC"/>
        <family val="2"/>
      </rPr>
      <t xml:space="preserve">延伸練習一：通信封包處理 </t>
    </r>
    <r>
      <rPr>
        <b val="true"/>
        <sz val="14"/>
        <rFont val="Arial"/>
        <family val="0"/>
        <charset val="1"/>
      </rPr>
      <t xml:space="preserve">M/M/1</t>
    </r>
  </si>
  <si>
    <r>
      <rPr>
        <i val="true"/>
        <sz val="9"/>
        <color rgb="FF666666"/>
        <rFont val="Noto Sans CJK SC"/>
        <family val="2"/>
      </rPr>
      <t xml:space="preserve">說明：輸入</t>
    </r>
    <r>
      <rPr>
        <i val="true"/>
        <sz val="9"/>
        <color rgb="FF666666"/>
        <rFont val="Arial"/>
        <family val="0"/>
        <charset val="1"/>
      </rPr>
      <t xml:space="preserve">λ,μ</t>
    </r>
    <r>
      <rPr>
        <i val="true"/>
        <sz val="9"/>
        <color rgb="FF666666"/>
        <rFont val="Noto Sans CJK SC"/>
        <family val="2"/>
      </rPr>
      <t xml:space="preserve">後自動計算</t>
    </r>
    <r>
      <rPr>
        <i val="true"/>
        <sz val="9"/>
        <color rgb="FF666666"/>
        <rFont val="Arial"/>
        <family val="0"/>
        <charset val="1"/>
      </rPr>
      <t xml:space="preserve">M/M/1</t>
    </r>
    <r>
      <rPr>
        <i val="true"/>
        <sz val="9"/>
        <color rgb="FF666666"/>
        <rFont val="Noto Sans CJK SC"/>
        <family val="2"/>
      </rPr>
      <t xml:space="preserve">各項績效指標，並以利特爾法則驗證。</t>
    </r>
  </si>
  <si>
    <r>
      <rPr>
        <b val="true"/>
        <sz val="11"/>
        <color rgb="FF000000"/>
        <rFont val="Noto Sans CJK SC"/>
        <family val="2"/>
      </rPr>
      <t xml:space="preserve">到達率</t>
    </r>
    <r>
      <rPr>
        <b val="true"/>
        <sz val="11"/>
        <color rgb="FF000000"/>
        <rFont val="Arial"/>
        <family val="0"/>
        <charset val="1"/>
      </rPr>
      <t xml:space="preserve">λ(</t>
    </r>
    <r>
      <rPr>
        <b val="true"/>
        <sz val="11"/>
        <color rgb="FF000000"/>
        <rFont val="Noto Sans CJK SC"/>
        <family val="2"/>
      </rPr>
      <t xml:space="preserve">封包</t>
    </r>
    <r>
      <rPr>
        <b val="true"/>
        <sz val="11"/>
        <color rgb="FF000000"/>
        <rFont val="Arial"/>
        <family val="0"/>
        <charset val="1"/>
      </rPr>
      <t xml:space="preserve">/</t>
    </r>
    <r>
      <rPr>
        <b val="true"/>
        <sz val="11"/>
        <color rgb="FF000000"/>
        <rFont val="Noto Sans CJK SC"/>
        <family val="2"/>
      </rPr>
      <t xml:space="preserve">秒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</si>
  <si>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Noto Sans CJK SC"/>
        <family val="2"/>
      </rPr>
      <t xml:space="preserve">服務率</t>
    </r>
    <r>
      <rPr>
        <b val="true"/>
        <sz val="11"/>
        <color rgb="FF000000"/>
        <rFont val="Arial"/>
        <family val="0"/>
        <charset val="1"/>
      </rPr>
      <t xml:space="preserve">μ(</t>
    </r>
    <r>
      <rPr>
        <b val="true"/>
        <sz val="11"/>
        <color rgb="FF000000"/>
        <rFont val="Noto Sans CJK SC"/>
        <family val="2"/>
      </rPr>
      <t xml:space="preserve">封包</t>
    </r>
    <r>
      <rPr>
        <b val="true"/>
        <sz val="11"/>
        <color rgb="FF000000"/>
        <rFont val="Arial"/>
        <family val="0"/>
        <charset val="1"/>
      </rPr>
      <t xml:space="preserve">/</t>
    </r>
    <r>
      <rPr>
        <b val="true"/>
        <sz val="11"/>
        <color rgb="FF000000"/>
        <rFont val="Noto Sans CJK SC"/>
        <family val="2"/>
      </rPr>
      <t xml:space="preserve">秒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</si>
  <si>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Arial"/>
        <family val="0"/>
        <charset val="1"/>
      </rPr>
      <t xml:space="preserve">W(</t>
    </r>
    <r>
      <rPr>
        <b val="true"/>
        <sz val="11"/>
        <color rgb="FF000000"/>
        <rFont val="Noto Sans CJK SC"/>
        <family val="2"/>
      </rPr>
      <t xml:space="preserve">秒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</si>
  <si>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Arial"/>
        <family val="0"/>
        <charset val="1"/>
      </rPr>
      <t xml:space="preserve">Wq(</t>
    </r>
    <r>
      <rPr>
        <b val="true"/>
        <sz val="11"/>
        <color rgb="FF000000"/>
        <rFont val="Noto Sans CJK SC"/>
        <family val="2"/>
      </rPr>
      <t xml:space="preserve">秒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</si>
  <si>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Noto Sans CJK SC"/>
        <family val="2"/>
      </rPr>
      <t xml:space="preserve">利特爾法則驗證</t>
    </r>
    <r>
      <rPr>
        <b val="true"/>
        <sz val="11"/>
        <color rgb="FF000000"/>
        <rFont val="Arial"/>
        <family val="0"/>
        <charset val="1"/>
      </rPr>
      <t xml:space="preserve">(L=λW)</t>
    </r>
  </si>
  <si>
    <r>
      <rPr>
        <b val="true"/>
        <sz val="14"/>
        <rFont val="Noto Sans CJK SC"/>
        <family val="2"/>
      </rPr>
      <t xml:space="preserve">延伸練習二：野戰醫院檢傷站 </t>
    </r>
    <r>
      <rPr>
        <b val="true"/>
        <sz val="14"/>
        <rFont val="Arial"/>
        <family val="0"/>
        <charset val="1"/>
      </rPr>
      <t xml:space="preserve">M/M/s </t>
    </r>
    <r>
      <rPr>
        <b val="true"/>
        <sz val="14"/>
        <rFont val="Noto Sans CJK SC"/>
        <family val="2"/>
      </rPr>
      <t xml:space="preserve">成本效益折衷</t>
    </r>
  </si>
  <si>
    <r>
      <rPr>
        <sz val="11"/>
        <color theme="1"/>
        <rFont val="Noto Sans CJK SC"/>
        <family val="2"/>
      </rPr>
      <t xml:space="preserve">到達率</t>
    </r>
    <r>
      <rPr>
        <sz val="11"/>
        <color theme="1"/>
        <rFont val="Calibri"/>
        <family val="2"/>
        <charset val="1"/>
      </rPr>
      <t xml:space="preserve">λ(</t>
    </r>
    <r>
      <rPr>
        <sz val="11"/>
        <color theme="1"/>
        <rFont val="Noto Sans CJK SC"/>
        <family val="2"/>
      </rPr>
      <t xml:space="preserve">人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小時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</si>
  <si>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服務率</t>
    </r>
    <r>
      <rPr>
        <sz val="11"/>
        <color theme="1"/>
        <rFont val="Calibri"/>
        <family val="2"/>
        <charset val="1"/>
      </rPr>
      <t xml:space="preserve">μ(</t>
    </r>
    <r>
      <rPr>
        <sz val="11"/>
        <color theme="1"/>
        <rFont val="Noto Sans CJK SC"/>
        <family val="2"/>
      </rPr>
      <t xml:space="preserve">人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小時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醫官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</si>
  <si>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醫官成本</t>
    </r>
    <r>
      <rPr>
        <sz val="11"/>
        <color theme="1"/>
        <rFont val="Calibri"/>
        <family val="2"/>
        <charset val="1"/>
      </rPr>
      <t xml:space="preserve">Cs</t>
    </r>
  </si>
  <si>
    <r>
      <rPr>
        <i val="true"/>
        <sz val="9"/>
        <color rgb="FF666666"/>
        <rFont val="Noto Sans CJK SC"/>
        <family val="2"/>
      </rPr>
      <t xml:space="preserve">說明：比較</t>
    </r>
    <r>
      <rPr>
        <i val="true"/>
        <sz val="9"/>
        <color rgb="FF666666"/>
        <rFont val="Arial"/>
        <family val="0"/>
        <charset val="1"/>
      </rPr>
      <t xml:space="preserve">s=3,4,5</t>
    </r>
    <r>
      <rPr>
        <i val="true"/>
        <sz val="9"/>
        <color rgb="FF666666"/>
        <rFont val="Noto Sans CJK SC"/>
        <family val="2"/>
      </rPr>
      <t xml:space="preserve">位醫官之總成本，找出最適配置。</t>
    </r>
  </si>
  <si>
    <t xml:space="preserve">醫官成本</t>
  </si>
  <si>
    <t xml:space="preserve">最適醫官數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</si>
</sst>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666666"/>
      <name val="Noto Sans CJK SC"/>
      <family val="2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</font>
    <font>
      <b val="true"/>
      <sz val="11"/>
      <color rgb="FF000000"/>
      <name val="Noto Sans CJK SC"/>
      <family val="2"/>
    </font>
    <font>
      <b val="true"/>
      <sz val="11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邊際改善曲線：服務台數 vs. Wq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03_邊際改善與成本效益曲線!E6</c:f>
              <c:strCache>
                <c:ptCount val="1"/>
                <c:pt idx="0">
                  <c:v>Wq(分鐘)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03_邊際改善與成本效益曲線!$A$7:$A$13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03_邊際改善與成本效益曲線!$E$7:$E$13</c:f>
              <c:numCache>
                <c:formatCode>General</c:formatCode>
                <c:ptCount val="7"/>
                <c:pt idx="0">
                  <c:v>21.3333333333333</c:v>
                </c:pt>
                <c:pt idx="1">
                  <c:v>2.34682964094729</c:v>
                </c:pt>
                <c:pt idx="2">
                  <c:v>0.453498671390611</c:v>
                </c:pt>
                <c:pt idx="3">
                  <c:v>0.0913607646110867</c:v>
                </c:pt>
                <c:pt idx="4">
                  <c:v>0.0174896271872042</c:v>
                </c:pt>
                <c:pt idx="5">
                  <c:v>0.00309745263339747</c:v>
                </c:pt>
                <c:pt idx="6">
                  <c:v>0.000504052540586013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210053"/>
        <c:axId val="84816296"/>
      </c:lineChart>
      <c:catAx>
        <c:axId val="962100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服務台數s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816296"/>
        <c:crosses val="autoZero"/>
        <c:auto val="1"/>
        <c:lblAlgn val="ctr"/>
        <c:lblOffset val="100"/>
        <c:noMultiLvlLbl val="0"/>
      </c:catAx>
      <c:valAx>
        <c:axId val="848162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Wq(分鐘)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2100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成本效益折衷分析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03_邊際改善與成本效益曲線!H6</c:f>
              <c:strCache>
                <c:ptCount val="1"/>
                <c:pt idx="0">
                  <c:v>服務台成本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03_邊際改善與成本效益曲線!$A$7:$A$13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03_邊際改善與成本效益曲線!$H$7:$H$13</c:f>
              <c:numCache>
                <c:formatCode>General</c:formatCode>
                <c:ptCount val="7"/>
                <c:pt idx="0">
                  <c:v>60</c:v>
                </c:pt>
                <c:pt idx="1">
                  <c:v>90</c:v>
                </c:pt>
                <c:pt idx="2">
                  <c:v>120</c:v>
                </c:pt>
                <c:pt idx="3">
                  <c:v>150</c:v>
                </c:pt>
                <c:pt idx="4">
                  <c:v>180</c:v>
                </c:pt>
                <c:pt idx="5">
                  <c:v>210</c:v>
                </c:pt>
                <c:pt idx="6">
                  <c:v>240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03_邊際改善與成本效益曲線!I6</c:f>
              <c:strCache>
                <c:ptCount val="1"/>
                <c:pt idx="0">
                  <c:v>等候成本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03_邊際改善與成本效益曲線!$A$7:$A$13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03_邊際改善與成本效益曲線!$I$7:$I$13</c:f>
              <c:numCache>
                <c:formatCode>General</c:formatCode>
                <c:ptCount val="7"/>
                <c:pt idx="0">
                  <c:v>111.111111111111</c:v>
                </c:pt>
                <c:pt idx="1">
                  <c:v>47.8227654698243</c:v>
                </c:pt>
                <c:pt idx="2">
                  <c:v>41.5116622379687</c:v>
                </c:pt>
                <c:pt idx="3">
                  <c:v>40.304535882037</c:v>
                </c:pt>
                <c:pt idx="4">
                  <c:v>40.0582987572907</c:v>
                </c:pt>
                <c:pt idx="5">
                  <c:v>40.0103248421113</c:v>
                </c:pt>
                <c:pt idx="6">
                  <c:v>40.0016801751353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03_邊際改善與成本效益曲線!J6</c:f>
              <c:strCache>
                <c:ptCount val="1"/>
                <c:pt idx="0">
                  <c:v>總成本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03_邊際改善與成本效益曲線!$A$7:$A$13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03_邊際改善與成本效益曲線!$J$7:$J$13</c:f>
              <c:numCache>
                <c:formatCode>General</c:formatCode>
                <c:ptCount val="7"/>
                <c:pt idx="0">
                  <c:v>171.111111111111</c:v>
                </c:pt>
                <c:pt idx="1">
                  <c:v>137.822765469824</c:v>
                </c:pt>
                <c:pt idx="2">
                  <c:v>161.511662237969</c:v>
                </c:pt>
                <c:pt idx="3">
                  <c:v>190.304535882037</c:v>
                </c:pt>
                <c:pt idx="4">
                  <c:v>220.058298757291</c:v>
                </c:pt>
                <c:pt idx="5">
                  <c:v>250.010324842111</c:v>
                </c:pt>
                <c:pt idx="6">
                  <c:v>280.001680175135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142754"/>
        <c:axId val="87716724"/>
      </c:lineChart>
      <c:catAx>
        <c:axId val="111427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服務台數s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16724"/>
        <c:crosses val="autoZero"/>
        <c:auto val="1"/>
        <c:lblAlgn val="ctr"/>
        <c:lblOffset val="100"/>
        <c:noMultiLvlLbl val="0"/>
      </c:catAx>
      <c:valAx>
        <c:axId val="877167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成本(元/小時)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427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106200</xdr:rowOff>
    </xdr:from>
    <xdr:to>
      <xdr:col>8</xdr:col>
      <xdr:colOff>536040</xdr:colOff>
      <xdr:row>31</xdr:row>
      <xdr:rowOff>138600</xdr:rowOff>
    </xdr:to>
    <xdr:graphicFrame>
      <xdr:nvGraphicFramePr>
        <xdr:cNvPr id="0" name="Chart 1"/>
        <xdr:cNvGraphicFramePr/>
      </xdr:nvGraphicFramePr>
      <xdr:xfrm>
        <a:off x="0" y="3429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34</xdr:row>
      <xdr:rowOff>106200</xdr:rowOff>
    </xdr:from>
    <xdr:to>
      <xdr:col>8</xdr:col>
      <xdr:colOff>536040</xdr:colOff>
      <xdr:row>48</xdr:row>
      <xdr:rowOff>138600</xdr:rowOff>
    </xdr:to>
    <xdr:graphicFrame>
      <xdr:nvGraphicFramePr>
        <xdr:cNvPr id="1" name="Chart 2"/>
        <xdr:cNvGraphicFramePr/>
      </xdr:nvGraphicFramePr>
      <xdr:xfrm>
        <a:off x="0" y="6667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4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7.15" hidden="false" customHeight="false" outlineLevel="0" collapsed="false">
      <c r="A5" s="4" t="s">
        <v>5</v>
      </c>
      <c r="B5" s="5" t="s">
        <v>6</v>
      </c>
      <c r="C5" s="6" t="s">
        <v>7</v>
      </c>
    </row>
    <row r="6" customFormat="false" ht="17.15" hidden="false" customHeight="false" outlineLevel="0" collapsed="false">
      <c r="A6" s="4" t="s">
        <v>8</v>
      </c>
      <c r="B6" s="5" t="s">
        <v>9</v>
      </c>
      <c r="C6" s="6" t="s">
        <v>10</v>
      </c>
    </row>
    <row r="7" customFormat="false" ht="17.15" hidden="false" customHeight="false" outlineLevel="0" collapsed="false">
      <c r="A7" s="4" t="s">
        <v>11</v>
      </c>
      <c r="B7" s="5" t="s">
        <v>12</v>
      </c>
      <c r="C7" s="6" t="s">
        <v>13</v>
      </c>
    </row>
    <row r="8" customFormat="false" ht="17.15" hidden="false" customHeight="false" outlineLevel="0" collapsed="false">
      <c r="A8" s="4" t="s">
        <v>14</v>
      </c>
      <c r="B8" s="4" t="s">
        <v>15</v>
      </c>
      <c r="C8" s="6" t="s">
        <v>16</v>
      </c>
    </row>
    <row r="9" customFormat="false" ht="17.15" hidden="false" customHeight="false" outlineLevel="0" collapsed="false">
      <c r="A9" s="4" t="s">
        <v>17</v>
      </c>
      <c r="B9" s="4" t="s">
        <v>18</v>
      </c>
      <c r="C9" s="6" t="s">
        <v>19</v>
      </c>
    </row>
    <row r="10" customFormat="false" ht="17.15" hidden="false" customHeight="false" outlineLevel="0" collapsed="false">
      <c r="A10" s="4" t="s">
        <v>20</v>
      </c>
      <c r="B10" s="4" t="s">
        <v>21</v>
      </c>
      <c r="C10" s="6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16" min="9" style="0" width="6"/>
  </cols>
  <sheetData>
    <row r="1" customFormat="false" ht="21.6" hidden="false" customHeight="false" outlineLevel="0" collapsed="false">
      <c r="A1" s="1" t="s">
        <v>23</v>
      </c>
      <c r="B1" s="7" t="s">
        <v>24</v>
      </c>
      <c r="D1" s="7" t="s">
        <v>25</v>
      </c>
      <c r="S1" s="7" t="s">
        <v>26</v>
      </c>
    </row>
    <row r="2" customFormat="false" ht="17.15" hidden="false" customHeight="false" outlineLevel="0" collapsed="false">
      <c r="A2" s="2" t="s">
        <v>27</v>
      </c>
      <c r="B2" s="8" t="n">
        <v>8</v>
      </c>
      <c r="E2" s="8" t="n">
        <v>5</v>
      </c>
      <c r="S2" s="9" t="s">
        <v>28</v>
      </c>
      <c r="T2" s="8" t="n">
        <v>10</v>
      </c>
    </row>
    <row r="3" customFormat="false" ht="17.15" hidden="false" customHeight="false" outlineLevel="0" collapsed="false">
      <c r="I3" s="10" t="s">
        <v>29</v>
      </c>
      <c r="J3" s="11" t="n">
        <v>0</v>
      </c>
      <c r="K3" s="11" t="n">
        <v>1</v>
      </c>
      <c r="L3" s="11" t="n">
        <v>2</v>
      </c>
      <c r="M3" s="11" t="n">
        <v>3</v>
      </c>
      <c r="N3" s="11" t="n">
        <v>4</v>
      </c>
      <c r="O3" s="11" t="n">
        <v>5</v>
      </c>
      <c r="P3" s="11" t="n">
        <v>6</v>
      </c>
      <c r="Q3" s="11" t="n">
        <v>7</v>
      </c>
      <c r="S3" s="9" t="s">
        <v>30</v>
      </c>
      <c r="T3" s="11" t="n">
        <f aca="false">$B$2/T2</f>
        <v>0.8</v>
      </c>
    </row>
    <row r="4" customFormat="false" ht="17.15" hidden="false" customHeight="false" outlineLevel="0" collapsed="false">
      <c r="I4" s="7" t="s">
        <v>31</v>
      </c>
      <c r="J4" s="11" t="n">
        <f aca="false">($B$2/$E$2)^0/FACT(0)</f>
        <v>1</v>
      </c>
      <c r="K4" s="11" t="n">
        <f aca="false">($B$2/$E$2)^1/FACT(1)</f>
        <v>1.6</v>
      </c>
      <c r="L4" s="11" t="n">
        <f aca="false">($B$2/$E$2)^2/FACT(2)</f>
        <v>1.28</v>
      </c>
      <c r="M4" s="11" t="n">
        <f aca="false">($B$2/$E$2)^3/FACT(3)</f>
        <v>0.682666666666667</v>
      </c>
      <c r="N4" s="11" t="n">
        <f aca="false">($B$2/$E$2)^4/FACT(4)</f>
        <v>0.273066666666667</v>
      </c>
      <c r="O4" s="11" t="n">
        <f aca="false">($B$2/$E$2)^5/FACT(5)</f>
        <v>0.0873813333333334</v>
      </c>
      <c r="P4" s="11" t="n">
        <f aca="false">($B$2/$E$2)^6/FACT(6)</f>
        <v>0.0233016888888889</v>
      </c>
      <c r="Q4" s="11" t="n">
        <f aca="false">($B$2/$E$2)^7/FACT(7)</f>
        <v>0.00532610031746032</v>
      </c>
      <c r="S4" s="9" t="s">
        <v>32</v>
      </c>
      <c r="T4" s="11" t="n">
        <f aca="false">1-T3</f>
        <v>0.2</v>
      </c>
    </row>
    <row r="5" customFormat="false" ht="15" hidden="false" customHeight="false" outlineLevel="0" collapsed="false">
      <c r="S5" s="0" t="s">
        <v>33</v>
      </c>
      <c r="T5" s="11" t="n">
        <f aca="false">$B$2/(T2-$B$2)</f>
        <v>4</v>
      </c>
    </row>
    <row r="6" customFormat="false" ht="17.15" hidden="false" customHeight="false" outlineLevel="0" collapsed="false">
      <c r="A6" s="12" t="s">
        <v>34</v>
      </c>
      <c r="B6" s="12" t="s">
        <v>30</v>
      </c>
      <c r="C6" s="12" t="s">
        <v>32</v>
      </c>
      <c r="D6" s="12" t="s">
        <v>35</v>
      </c>
      <c r="E6" s="12" t="s">
        <v>36</v>
      </c>
      <c r="F6" s="12" t="s">
        <v>37</v>
      </c>
      <c r="G6" s="12" t="s">
        <v>33</v>
      </c>
      <c r="S6" s="9" t="s">
        <v>35</v>
      </c>
      <c r="T6" s="11" t="n">
        <f aca="false">$B$2^2/(T2*(T2-$B$2))</f>
        <v>3.2</v>
      </c>
    </row>
    <row r="7" customFormat="false" ht="17.15" hidden="false" customHeight="false" outlineLevel="0" collapsed="false">
      <c r="A7" s="8" t="n">
        <v>2</v>
      </c>
      <c r="B7" s="11" t="n">
        <f aca="false">$B$2/(A7*$E$2)</f>
        <v>0.8</v>
      </c>
      <c r="C7" s="11" t="n">
        <f aca="false">1/(SUMPRODUCT(($J$3:$Q$3&lt;A7)*1,$J$4:$Q$4)+($B$2/$E$2)^A7/(FACT(A7)*(1-B7)))</f>
        <v>0.111111111111111</v>
      </c>
      <c r="D7" s="11" t="n">
        <f aca="false">C7*($B$2/$E$2)^A7*B7/(FACT(A7)*(1-B7)^2)</f>
        <v>2.84444444444445</v>
      </c>
      <c r="E7" s="11" t="n">
        <f aca="false">D7/$B$2</f>
        <v>0.355555555555556</v>
      </c>
      <c r="F7" s="11" t="n">
        <f aca="false">E7+1/$E$2</f>
        <v>0.555555555555556</v>
      </c>
      <c r="G7" s="11" t="n">
        <f aca="false">$B$2*F7</f>
        <v>4.44444444444445</v>
      </c>
      <c r="S7" s="9" t="s">
        <v>38</v>
      </c>
      <c r="T7" s="11" t="n">
        <f aca="false">1/(T2-$B$2)</f>
        <v>0.5</v>
      </c>
    </row>
    <row r="8" customFormat="false" ht="17.15" hidden="false" customHeight="false" outlineLevel="0" collapsed="false">
      <c r="A8" s="8" t="n">
        <v>3</v>
      </c>
      <c r="B8" s="11" t="n">
        <f aca="false">$B$2/(A8*$E$2)</f>
        <v>0.533333333333333</v>
      </c>
      <c r="C8" s="11" t="n">
        <f aca="false">1/(SUMPRODUCT(($J$3:$Q$3&lt;A8)*1,$J$4:$Q$4)+($B$2/$E$2)^A8/(FACT(A8)*(1-B8)))</f>
        <v>0.18716577540107</v>
      </c>
      <c r="D8" s="11" t="n">
        <f aca="false">C8*($B$2/$E$2)^A8*B8/(FACT(A8)*(1-B8)^2)</f>
        <v>0.312910618792972</v>
      </c>
      <c r="E8" s="11" t="n">
        <f aca="false">D8/$B$2</f>
        <v>0.0391138273491215</v>
      </c>
      <c r="F8" s="11" t="n">
        <f aca="false">E8+1/$E$2</f>
        <v>0.239113827349121</v>
      </c>
      <c r="G8" s="11" t="n">
        <f aca="false">$B$2*F8</f>
        <v>1.91291061879297</v>
      </c>
      <c r="S8" s="9" t="s">
        <v>39</v>
      </c>
      <c r="T8" s="11" t="n">
        <f aca="false">T3/(T2-$B$2)</f>
        <v>0.4</v>
      </c>
    </row>
    <row r="9" customFormat="false" ht="15" hidden="false" customHeight="false" outlineLevel="0" collapsed="false">
      <c r="A9" s="8" t="n">
        <v>4</v>
      </c>
      <c r="B9" s="11" t="n">
        <f aca="false">$B$2/(A9*$E$2)</f>
        <v>0.4</v>
      </c>
      <c r="C9" s="11" t="n">
        <f aca="false">1/(SUMPRODUCT(($J$3:$Q$3&lt;A9)*1,$J$4:$Q$4)+($B$2/$E$2)^A9/(FACT(A9)*(1-B9)))</f>
        <v>0.199291408325952</v>
      </c>
      <c r="D9" s="11" t="n">
        <f aca="false">C9*($B$2/$E$2)^A9*B9/(FACT(A9)*(1-B9)^2)</f>
        <v>0.0604664895187482</v>
      </c>
      <c r="E9" s="11" t="n">
        <f aca="false">D9/$B$2</f>
        <v>0.00755831118984352</v>
      </c>
      <c r="F9" s="11" t="n">
        <f aca="false">E9+1/$E$2</f>
        <v>0.207558311189844</v>
      </c>
      <c r="G9" s="11" t="n">
        <f aca="false">$B$2*F9</f>
        <v>1.66046648951875</v>
      </c>
    </row>
    <row r="10" customFormat="false" ht="15" hidden="false" customHeight="false" outlineLevel="0" collapsed="false">
      <c r="A10" s="8" t="n">
        <v>5</v>
      </c>
      <c r="B10" s="11" t="n">
        <f aca="false">$B$2/(A10*$E$2)</f>
        <v>0.32</v>
      </c>
      <c r="C10" s="11" t="n">
        <f aca="false">1/(SUMPRODUCT(($J$3:$Q$3&lt;A10)*1,$J$4:$Q$4)+($B$2/$E$2)^A10/(FACT(A10)*(1-B10)))</f>
        <v>0.201440894871552</v>
      </c>
      <c r="D10" s="11" t="n">
        <f aca="false">C10*($B$2/$E$2)^A10*B10/(FACT(A10)*(1-B10)^2)</f>
        <v>0.0121814352814782</v>
      </c>
      <c r="E10" s="11" t="n">
        <f aca="false">D10/$B$2</f>
        <v>0.00152267941018478</v>
      </c>
      <c r="F10" s="11" t="n">
        <f aca="false">E10+1/$E$2</f>
        <v>0.201522679410185</v>
      </c>
      <c r="G10" s="11" t="n">
        <f aca="false">$B$2*F10</f>
        <v>1.61218143528148</v>
      </c>
    </row>
    <row r="11" customFormat="false" ht="15" hidden="false" customHeight="false" outlineLevel="0" collapsed="false">
      <c r="A11" s="8" t="n">
        <v>6</v>
      </c>
      <c r="B11" s="11" t="n">
        <f aca="false">$B$2/(A11*$E$2)</f>
        <v>0.266666666666667</v>
      </c>
      <c r="C11" s="11" t="n">
        <f aca="false">1/(SUMPRODUCT(($J$3:$Q$3&lt;A11)*1,$J$4:$Q$4)+($B$2/$E$2)^A11/(FACT(A11)*(1-B11)))</f>
        <v>0.201820839848681</v>
      </c>
      <c r="D11" s="11" t="n">
        <f aca="false">C11*($B$2/$E$2)^A11*B11/(FACT(A11)*(1-B11)^2)</f>
        <v>0.00233195029162722</v>
      </c>
      <c r="E11" s="11" t="n">
        <f aca="false">D11/$B$2</f>
        <v>0.000291493786453403</v>
      </c>
      <c r="F11" s="11" t="n">
        <f aca="false">E11+1/$E$2</f>
        <v>0.200291493786453</v>
      </c>
      <c r="G11" s="11" t="n">
        <f aca="false">$B$2*F11</f>
        <v>1.60233195029163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3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3" t="s">
        <v>40</v>
      </c>
      <c r="B1" s="8" t="n">
        <v>8</v>
      </c>
    </row>
    <row r="2" customFormat="false" ht="15" hidden="false" customHeight="false" outlineLevel="0" collapsed="false">
      <c r="A2" s="14" t="s">
        <v>41</v>
      </c>
      <c r="B2" s="8" t="n">
        <v>5</v>
      </c>
    </row>
    <row r="3" customFormat="false" ht="15" hidden="false" customHeight="false" outlineLevel="0" collapsed="false">
      <c r="A3" s="0" t="s">
        <v>42</v>
      </c>
      <c r="B3" s="8" t="n">
        <v>2</v>
      </c>
    </row>
    <row r="4" customFormat="false" ht="15" hidden="false" customHeight="false" outlineLevel="0" collapsed="false">
      <c r="A4" s="0" t="s">
        <v>43</v>
      </c>
      <c r="B4" s="8" t="n">
        <v>5</v>
      </c>
    </row>
    <row r="6" customFormat="false" ht="17.15" hidden="false" customHeight="false" outlineLevel="0" collapsed="false">
      <c r="A6" s="12" t="s">
        <v>44</v>
      </c>
      <c r="B6" s="3" t="s">
        <v>45</v>
      </c>
      <c r="C6" s="12" t="s">
        <v>46</v>
      </c>
      <c r="E6" s="10" t="s">
        <v>32</v>
      </c>
    </row>
    <row r="7" customFormat="false" ht="15" hidden="false" customHeight="false" outlineLevel="0" collapsed="false">
      <c r="A7" s="11" t="n">
        <v>0</v>
      </c>
      <c r="B7" s="11" t="n">
        <f aca="false">($B$1/$B$2)^A7/FACT(A7)</f>
        <v>1</v>
      </c>
      <c r="C7" s="11" t="n">
        <f aca="false">$E$7*B7</f>
        <v>0.156775196909647</v>
      </c>
      <c r="E7" s="11" t="n">
        <f aca="false">1/SUM(B7:B12)</f>
        <v>0.156775196909647</v>
      </c>
    </row>
    <row r="8" customFormat="false" ht="15" hidden="false" customHeight="false" outlineLevel="0" collapsed="false">
      <c r="A8" s="11" t="n">
        <v>1</v>
      </c>
      <c r="B8" s="11" t="n">
        <f aca="false">($B$1/$B$2)^A8/FACT(A8)</f>
        <v>1.6</v>
      </c>
      <c r="C8" s="11" t="n">
        <f aca="false">$E$7*B8</f>
        <v>0.250840315055436</v>
      </c>
    </row>
    <row r="9" customFormat="false" ht="15" hidden="false" customHeight="false" outlineLevel="0" collapsed="false">
      <c r="A9" s="11" t="n">
        <v>2</v>
      </c>
      <c r="B9" s="11" t="n">
        <f aca="false">($B$1/$B$2)^A9/(FACT($B$3)*$B$3^(A9-$B$3))</f>
        <v>1.28</v>
      </c>
      <c r="C9" s="11" t="n">
        <f aca="false">$E$7*B9</f>
        <v>0.200672252044349</v>
      </c>
      <c r="E9" s="11" t="n">
        <f aca="false">$B$1*(1-C12)</f>
        <v>7.17804645562635</v>
      </c>
    </row>
    <row r="10" customFormat="false" ht="15" hidden="false" customHeight="false" outlineLevel="0" collapsed="false">
      <c r="A10" s="11" t="n">
        <v>3</v>
      </c>
      <c r="B10" s="11" t="n">
        <f aca="false">($B$1/$B$2)^A10/(FACT($B$3)*$B$3^(A10-$B$3))</f>
        <v>1.024</v>
      </c>
      <c r="C10" s="11" t="n">
        <f aca="false">$E$7*B10</f>
        <v>0.160537801635479</v>
      </c>
      <c r="E10" s="11" t="n">
        <f aca="false">SUMPRODUCT(A7:A12,C7:C12)</f>
        <v>2.16124015451763</v>
      </c>
    </row>
    <row r="11" customFormat="false" ht="15" hidden="false" customHeight="false" outlineLevel="0" collapsed="false">
      <c r="A11" s="11" t="n">
        <v>4</v>
      </c>
      <c r="B11" s="11" t="n">
        <f aca="false">($B$1/$B$2)^A11/(FACT($B$3)*$B$3^(A11-$B$3))</f>
        <v>0.8192</v>
      </c>
      <c r="C11" s="11" t="n">
        <f aca="false">$E$7*B11</f>
        <v>0.128430241308383</v>
      </c>
      <c r="E11" s="11" t="n">
        <f aca="false">MAX(A7-$B$3,0)*C7+MAX(A8-$B$3,0)*C8+MAX(A9-$B$3,0)*C9+MAX(A10-$B$3,0)*C10+MAX(A11-$B$3,0)*C11+MAX(A12-$B$3,0)*C12</f>
        <v>0.725630863392365</v>
      </c>
    </row>
    <row r="12" customFormat="false" ht="15" hidden="false" customHeight="false" outlineLevel="0" collapsed="false">
      <c r="A12" s="11" t="n">
        <v>5</v>
      </c>
      <c r="B12" s="11" t="n">
        <f aca="false">($B$1/$B$2)^A12/(FACT($B$3)*$B$3^(A12-$B$3))</f>
        <v>0.65536</v>
      </c>
      <c r="C12" s="11" t="n">
        <f aca="false">$E$7*B12</f>
        <v>0.102744193046706</v>
      </c>
      <c r="E12" s="11" t="n">
        <f aca="false">E11/E9</f>
        <v>0.101090299133352</v>
      </c>
    </row>
    <row r="13" customFormat="false" ht="15" hidden="false" customHeight="false" outlineLevel="0" collapsed="false">
      <c r="E13" s="11" t="n">
        <f aca="false">E10/E9</f>
        <v>0.301090299133352</v>
      </c>
    </row>
    <row r="14" customFormat="false" ht="15" hidden="false" customHeight="false" outlineLevel="0" collapsed="false">
      <c r="E14" s="11" t="n">
        <f aca="false">C12</f>
        <v>0.102744193046706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9" min="8" style="0" width="11"/>
    <col collapsed="false" customWidth="true" hidden="false" outlineLevel="0" max="10" min="10" style="0" width="10"/>
    <col collapsed="false" customWidth="true" hidden="false" outlineLevel="0" max="18" min="11" style="0" width="4"/>
  </cols>
  <sheetData>
    <row r="1" customFormat="false" ht="17.35" hidden="false" customHeight="false" outlineLevel="0" collapsed="false">
      <c r="A1" s="1" t="s">
        <v>47</v>
      </c>
      <c r="B1" s="15" t="s">
        <v>48</v>
      </c>
      <c r="E1" s="15" t="s">
        <v>49</v>
      </c>
      <c r="H1" s="15" t="s">
        <v>50</v>
      </c>
      <c r="I1" s="8" t="n">
        <v>30</v>
      </c>
    </row>
    <row r="2" customFormat="false" ht="17.15" hidden="false" customHeight="false" outlineLevel="0" collapsed="false">
      <c r="A2" s="2" t="s">
        <v>51</v>
      </c>
      <c r="B2" s="8" t="n">
        <v>8</v>
      </c>
      <c r="E2" s="8" t="n">
        <v>5</v>
      </c>
      <c r="H2" s="15" t="s">
        <v>52</v>
      </c>
      <c r="I2" s="8" t="n">
        <v>25</v>
      </c>
    </row>
    <row r="3" customFormat="false" ht="15" hidden="false" customHeight="false" outlineLevel="0" collapsed="false">
      <c r="J3" s="11" t="n">
        <v>0</v>
      </c>
      <c r="K3" s="11" t="n">
        <v>1</v>
      </c>
      <c r="L3" s="11" t="n">
        <v>2</v>
      </c>
      <c r="M3" s="11" t="n">
        <v>3</v>
      </c>
      <c r="N3" s="11" t="n">
        <v>4</v>
      </c>
      <c r="O3" s="11" t="n">
        <v>5</v>
      </c>
      <c r="P3" s="11" t="n">
        <v>6</v>
      </c>
      <c r="Q3" s="11" t="n">
        <v>7</v>
      </c>
    </row>
    <row r="4" customFormat="false" ht="15" hidden="false" customHeight="false" outlineLevel="0" collapsed="false">
      <c r="J4" s="11" t="n">
        <f aca="false">($B$2/$E$2)^0/FACT(0)</f>
        <v>1</v>
      </c>
      <c r="K4" s="11" t="n">
        <f aca="false">($B$2/$E$2)^1/FACT(1)</f>
        <v>1.6</v>
      </c>
      <c r="L4" s="11" t="n">
        <f aca="false">($B$2/$E$2)^2/FACT(2)</f>
        <v>1.28</v>
      </c>
      <c r="M4" s="11" t="n">
        <f aca="false">($B$2/$E$2)^3/FACT(3)</f>
        <v>0.682666666666667</v>
      </c>
      <c r="N4" s="11" t="n">
        <f aca="false">($B$2/$E$2)^4/FACT(4)</f>
        <v>0.273066666666667</v>
      </c>
      <c r="O4" s="11" t="n">
        <f aca="false">($B$2/$E$2)^5/FACT(5)</f>
        <v>0.0873813333333334</v>
      </c>
      <c r="P4" s="11" t="n">
        <f aca="false">($B$2/$E$2)^6/FACT(6)</f>
        <v>0.0233016888888889</v>
      </c>
      <c r="Q4" s="11" t="n">
        <f aca="false">($B$2/$E$2)^7/FACT(7)</f>
        <v>0.00532610031746032</v>
      </c>
    </row>
    <row r="6" customFormat="false" ht="17.15" hidden="false" customHeight="false" outlineLevel="0" collapsed="false">
      <c r="A6" s="12" t="s">
        <v>42</v>
      </c>
      <c r="B6" s="12" t="s">
        <v>30</v>
      </c>
      <c r="C6" s="12" t="s">
        <v>32</v>
      </c>
      <c r="D6" s="12" t="s">
        <v>35</v>
      </c>
      <c r="E6" s="12" t="s">
        <v>53</v>
      </c>
      <c r="F6" s="12" t="s">
        <v>54</v>
      </c>
      <c r="G6" s="12" t="s">
        <v>33</v>
      </c>
      <c r="H6" s="3" t="s">
        <v>55</v>
      </c>
      <c r="I6" s="3" t="s">
        <v>56</v>
      </c>
      <c r="J6" s="3" t="s">
        <v>57</v>
      </c>
    </row>
    <row r="7" customFormat="false" ht="15" hidden="false" customHeight="false" outlineLevel="0" collapsed="false">
      <c r="A7" s="8" t="n">
        <v>2</v>
      </c>
      <c r="B7" s="11" t="n">
        <f aca="false">$B$2/(A7*$E$2)</f>
        <v>0.8</v>
      </c>
      <c r="C7" s="11" t="n">
        <f aca="false">1/(SUMPRODUCT(($J$3:$Q$3&lt;A7)*1,$J$4:$Q$4)+($B$2/$E$2)^A7/(FACT(A7)*(1-B7)))</f>
        <v>0.111111111111111</v>
      </c>
      <c r="D7" s="11" t="n">
        <f aca="false">C7*($B$2/$E$2)^A7*B7/(FACT(A7)*(1-B7)^2)</f>
        <v>2.84444444444445</v>
      </c>
      <c r="E7" s="11" t="n">
        <f aca="false">D7/$B$2*60</f>
        <v>21.3333333333333</v>
      </c>
      <c r="F7" s="11" t="n">
        <f aca="false">D7/$B$2+1/$E$2</f>
        <v>0.555555555555556</v>
      </c>
      <c r="G7" s="11" t="n">
        <f aca="false">$B$2*F7</f>
        <v>4.44444444444445</v>
      </c>
      <c r="H7" s="11" t="n">
        <f aca="false">A7*$I$1</f>
        <v>60</v>
      </c>
      <c r="I7" s="11" t="n">
        <f aca="false">G7*$I$2</f>
        <v>111.111111111111</v>
      </c>
      <c r="J7" s="11" t="n">
        <f aca="false">H7+I7</f>
        <v>171.111111111111</v>
      </c>
    </row>
    <row r="8" customFormat="false" ht="15" hidden="false" customHeight="false" outlineLevel="0" collapsed="false">
      <c r="A8" s="8" t="n">
        <v>3</v>
      </c>
      <c r="B8" s="11" t="n">
        <f aca="false">$B$2/(A8*$E$2)</f>
        <v>0.533333333333333</v>
      </c>
      <c r="C8" s="11" t="n">
        <f aca="false">1/(SUMPRODUCT(($J$3:$Q$3&lt;A8)*1,$J$4:$Q$4)+($B$2/$E$2)^A8/(FACT(A8)*(1-B8)))</f>
        <v>0.18716577540107</v>
      </c>
      <c r="D8" s="11" t="n">
        <f aca="false">C8*($B$2/$E$2)^A8*B8/(FACT(A8)*(1-B8)^2)</f>
        <v>0.312910618792972</v>
      </c>
      <c r="E8" s="11" t="n">
        <f aca="false">D8/$B$2*60</f>
        <v>2.34682964094729</v>
      </c>
      <c r="F8" s="11" t="n">
        <f aca="false">D8/$B$2+1/$E$2</f>
        <v>0.239113827349121</v>
      </c>
      <c r="G8" s="11" t="n">
        <f aca="false">$B$2*F8</f>
        <v>1.91291061879297</v>
      </c>
      <c r="H8" s="11" t="n">
        <f aca="false">A8*$I$1</f>
        <v>90</v>
      </c>
      <c r="I8" s="11" t="n">
        <f aca="false">G8*$I$2</f>
        <v>47.8227654698243</v>
      </c>
      <c r="J8" s="11" t="n">
        <f aca="false">H8+I8</f>
        <v>137.822765469824</v>
      </c>
    </row>
    <row r="9" customFormat="false" ht="15" hidden="false" customHeight="false" outlineLevel="0" collapsed="false">
      <c r="A9" s="8" t="n">
        <v>4</v>
      </c>
      <c r="B9" s="11" t="n">
        <f aca="false">$B$2/(A9*$E$2)</f>
        <v>0.4</v>
      </c>
      <c r="C9" s="11" t="n">
        <f aca="false">1/(SUMPRODUCT(($J$3:$Q$3&lt;A9)*1,$J$4:$Q$4)+($B$2/$E$2)^A9/(FACT(A9)*(1-B9)))</f>
        <v>0.199291408325952</v>
      </c>
      <c r="D9" s="11" t="n">
        <f aca="false">C9*($B$2/$E$2)^A9*B9/(FACT(A9)*(1-B9)^2)</f>
        <v>0.0604664895187482</v>
      </c>
      <c r="E9" s="11" t="n">
        <f aca="false">D9/$B$2*60</f>
        <v>0.453498671390611</v>
      </c>
      <c r="F9" s="11" t="n">
        <f aca="false">D9/$B$2+1/$E$2</f>
        <v>0.207558311189844</v>
      </c>
      <c r="G9" s="11" t="n">
        <f aca="false">$B$2*F9</f>
        <v>1.66046648951875</v>
      </c>
      <c r="H9" s="11" t="n">
        <f aca="false">A9*$I$1</f>
        <v>120</v>
      </c>
      <c r="I9" s="11" t="n">
        <f aca="false">G9*$I$2</f>
        <v>41.5116622379687</v>
      </c>
      <c r="J9" s="11" t="n">
        <f aca="false">H9+I9</f>
        <v>161.511662237969</v>
      </c>
    </row>
    <row r="10" customFormat="false" ht="15" hidden="false" customHeight="false" outlineLevel="0" collapsed="false">
      <c r="A10" s="8" t="n">
        <v>5</v>
      </c>
      <c r="B10" s="11" t="n">
        <f aca="false">$B$2/(A10*$E$2)</f>
        <v>0.32</v>
      </c>
      <c r="C10" s="11" t="n">
        <f aca="false">1/(SUMPRODUCT(($J$3:$Q$3&lt;A10)*1,$J$4:$Q$4)+($B$2/$E$2)^A10/(FACT(A10)*(1-B10)))</f>
        <v>0.201440894871552</v>
      </c>
      <c r="D10" s="11" t="n">
        <f aca="false">C10*($B$2/$E$2)^A10*B10/(FACT(A10)*(1-B10)^2)</f>
        <v>0.0121814352814782</v>
      </c>
      <c r="E10" s="11" t="n">
        <f aca="false">D10/$B$2*60</f>
        <v>0.0913607646110867</v>
      </c>
      <c r="F10" s="11" t="n">
        <f aca="false">D10/$B$2+1/$E$2</f>
        <v>0.201522679410185</v>
      </c>
      <c r="G10" s="11" t="n">
        <f aca="false">$B$2*F10</f>
        <v>1.61218143528148</v>
      </c>
      <c r="H10" s="11" t="n">
        <f aca="false">A10*$I$1</f>
        <v>150</v>
      </c>
      <c r="I10" s="11" t="n">
        <f aca="false">G10*$I$2</f>
        <v>40.304535882037</v>
      </c>
      <c r="J10" s="11" t="n">
        <f aca="false">H10+I10</f>
        <v>190.304535882037</v>
      </c>
    </row>
    <row r="11" customFormat="false" ht="15" hidden="false" customHeight="false" outlineLevel="0" collapsed="false">
      <c r="A11" s="8" t="n">
        <v>6</v>
      </c>
      <c r="B11" s="11" t="n">
        <f aca="false">$B$2/(A11*$E$2)</f>
        <v>0.266666666666667</v>
      </c>
      <c r="C11" s="11" t="n">
        <f aca="false">1/(SUMPRODUCT(($J$3:$Q$3&lt;A11)*1,$J$4:$Q$4)+($B$2/$E$2)^A11/(FACT(A11)*(1-B11)))</f>
        <v>0.201820839848681</v>
      </c>
      <c r="D11" s="11" t="n">
        <f aca="false">C11*($B$2/$E$2)^A11*B11/(FACT(A11)*(1-B11)^2)</f>
        <v>0.00233195029162722</v>
      </c>
      <c r="E11" s="11" t="n">
        <f aca="false">D11/$B$2*60</f>
        <v>0.0174896271872042</v>
      </c>
      <c r="F11" s="11" t="n">
        <f aca="false">D11/$B$2+1/$E$2</f>
        <v>0.200291493786453</v>
      </c>
      <c r="G11" s="11" t="n">
        <f aca="false">$B$2*F11</f>
        <v>1.60233195029163</v>
      </c>
      <c r="H11" s="11" t="n">
        <f aca="false">A11*$I$1</f>
        <v>180</v>
      </c>
      <c r="I11" s="11" t="n">
        <f aca="false">G11*$I$2</f>
        <v>40.0582987572907</v>
      </c>
      <c r="J11" s="11" t="n">
        <f aca="false">H11+I11</f>
        <v>220.058298757291</v>
      </c>
    </row>
    <row r="12" customFormat="false" ht="15" hidden="false" customHeight="false" outlineLevel="0" collapsed="false">
      <c r="A12" s="8" t="n">
        <v>7</v>
      </c>
      <c r="B12" s="11" t="n">
        <f aca="false">$B$2/(A12*$E$2)</f>
        <v>0.228571428571429</v>
      </c>
      <c r="C12" s="11" t="n">
        <f aca="false">1/(SUMPRODUCT(($J$3:$Q$3&lt;A12)*1,$J$4:$Q$4)+($B$2/$E$2)^A12/(FACT(A12)*(1-B12)))</f>
        <v>0.201884773648985</v>
      </c>
      <c r="D12" s="11" t="n">
        <f aca="false">C12*($B$2/$E$2)^A12*B12/(FACT(A12)*(1-B12)^2)</f>
        <v>0.000412993684452996</v>
      </c>
      <c r="E12" s="11" t="n">
        <f aca="false">D12/$B$2*60</f>
        <v>0.00309745263339747</v>
      </c>
      <c r="F12" s="11" t="n">
        <f aca="false">D12/$B$2+1/$E$2</f>
        <v>0.200051624210557</v>
      </c>
      <c r="G12" s="11" t="n">
        <f aca="false">$B$2*F12</f>
        <v>1.60041299368445</v>
      </c>
      <c r="H12" s="11" t="n">
        <f aca="false">A12*$I$1</f>
        <v>210</v>
      </c>
      <c r="I12" s="11" t="n">
        <f aca="false">G12*$I$2</f>
        <v>40.0103248421113</v>
      </c>
      <c r="J12" s="11" t="n">
        <f aca="false">H12+I12</f>
        <v>250.010324842111</v>
      </c>
    </row>
    <row r="13" customFormat="false" ht="15" hidden="false" customHeight="false" outlineLevel="0" collapsed="false">
      <c r="A13" s="8" t="n">
        <v>8</v>
      </c>
      <c r="B13" s="11" t="n">
        <f aca="false">$B$2/(A13*$E$2)</f>
        <v>0.2</v>
      </c>
      <c r="C13" s="11" t="n">
        <f aca="false">1/(SUMPRODUCT(($J$3:$Q$3&lt;A13)*1,$J$4:$Q$4)+($B$2/$E$2)^A13/(FACT(A13)*(1-B13)))</f>
        <v>0.201894824072004</v>
      </c>
      <c r="D13" s="11" t="n">
        <f aca="false">C13*($B$2/$E$2)^A13*B13/(FACT(A13)*(1-B13)^2)</f>
        <v>6.72070054114684E-005</v>
      </c>
      <c r="E13" s="11" t="n">
        <f aca="false">D13/$B$2*60</f>
        <v>0.000504052540586013</v>
      </c>
      <c r="F13" s="11" t="n">
        <f aca="false">D13/$B$2+1/$E$2</f>
        <v>0.200008400875676</v>
      </c>
      <c r="G13" s="11" t="n">
        <f aca="false">$B$2*F13</f>
        <v>1.60006720700541</v>
      </c>
      <c r="H13" s="11" t="n">
        <f aca="false">A13*$I$1</f>
        <v>240</v>
      </c>
      <c r="I13" s="11" t="n">
        <f aca="false">G13*$I$2</f>
        <v>40.0016801751353</v>
      </c>
      <c r="J13" s="11" t="n">
        <f aca="false">H13+I13</f>
        <v>280.001680175135</v>
      </c>
    </row>
    <row r="16" customFormat="false" ht="15" hidden="false" customHeight="false" outlineLevel="0" collapsed="false">
      <c r="A16" s="7" t="s">
        <v>58</v>
      </c>
      <c r="B16" s="11" t="n">
        <f aca="false">INDEX(A7:A13,MATCH(MIN(J7:J13),J7:J13,0))</f>
        <v>3</v>
      </c>
    </row>
    <row r="17" customFormat="false" ht="15" hidden="false" customHeight="false" outlineLevel="0" collapsed="false">
      <c r="A17" s="7" t="s">
        <v>59</v>
      </c>
      <c r="B17" s="11" t="n">
        <f aca="false">MIN(J7:J13)</f>
        <v>137.822765469824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</cols>
  <sheetData>
    <row r="1" customFormat="false" ht="21.6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4" customFormat="false" ht="17.15" hidden="false" customHeight="false" outlineLevel="0" collapsed="false">
      <c r="A4" s="7" t="s">
        <v>62</v>
      </c>
      <c r="B4" s="8" t="n">
        <v>45</v>
      </c>
    </row>
    <row r="5" customFormat="false" ht="17.15" hidden="false" customHeight="false" outlineLevel="0" collapsed="false">
      <c r="A5" s="7" t="s">
        <v>63</v>
      </c>
      <c r="B5" s="8" t="n">
        <v>60</v>
      </c>
    </row>
    <row r="7" customFormat="false" ht="15" hidden="false" customHeight="false" outlineLevel="0" collapsed="false">
      <c r="A7" s="10" t="s">
        <v>30</v>
      </c>
      <c r="B7" s="11" t="n">
        <f aca="false">B4/B5</f>
        <v>0.75</v>
      </c>
    </row>
    <row r="8" customFormat="false" ht="15" hidden="false" customHeight="false" outlineLevel="0" collapsed="false">
      <c r="A8" s="10" t="s">
        <v>32</v>
      </c>
      <c r="B8" s="11" t="n">
        <f aca="false">1-B7</f>
        <v>0.25</v>
      </c>
    </row>
    <row r="9" customFormat="false" ht="15" hidden="false" customHeight="false" outlineLevel="0" collapsed="false">
      <c r="A9" s="10" t="s">
        <v>33</v>
      </c>
      <c r="B9" s="11" t="n">
        <f aca="false">B4/(B5-B4)</f>
        <v>3</v>
      </c>
    </row>
    <row r="10" customFormat="false" ht="15" hidden="false" customHeight="false" outlineLevel="0" collapsed="false">
      <c r="A10" s="10" t="s">
        <v>35</v>
      </c>
      <c r="B10" s="11" t="n">
        <f aca="false">B4^2/(B5*(B5-B4))</f>
        <v>2.25</v>
      </c>
    </row>
    <row r="11" customFormat="false" ht="17.15" hidden="false" customHeight="false" outlineLevel="0" collapsed="false">
      <c r="A11" s="10" t="s">
        <v>64</v>
      </c>
      <c r="B11" s="11" t="n">
        <f aca="false">1/(B5-B4)</f>
        <v>0.0666666666666667</v>
      </c>
    </row>
    <row r="12" customFormat="false" ht="17.15" hidden="false" customHeight="false" outlineLevel="0" collapsed="false">
      <c r="A12" s="10" t="s">
        <v>65</v>
      </c>
      <c r="B12" s="11" t="n">
        <f aca="false">B7/(B5-B4)</f>
        <v>0.05</v>
      </c>
    </row>
    <row r="14" customFormat="false" ht="17.15" hidden="false" customHeight="false" outlineLevel="0" collapsed="false">
      <c r="A14" s="7" t="s">
        <v>66</v>
      </c>
      <c r="B14" s="11" t="n">
        <f aca="false">B4*B11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10" min="8" style="0" width="10"/>
    <col collapsed="false" customWidth="true" hidden="false" outlineLevel="0" max="16" min="11" style="0" width="4"/>
  </cols>
  <sheetData>
    <row r="1" customFormat="false" ht="21.6" hidden="false" customHeight="false" outlineLevel="0" collapsed="false">
      <c r="A1" s="1" t="s">
        <v>67</v>
      </c>
      <c r="B1" s="15" t="s">
        <v>68</v>
      </c>
      <c r="E1" s="15" t="s">
        <v>69</v>
      </c>
      <c r="H1" s="15" t="s">
        <v>70</v>
      </c>
      <c r="I1" s="8" t="n">
        <v>80</v>
      </c>
    </row>
    <row r="2" customFormat="false" ht="17.15" hidden="false" customHeight="false" outlineLevel="0" collapsed="false">
      <c r="A2" s="2" t="s">
        <v>71</v>
      </c>
      <c r="B2" s="8" t="n">
        <v>6</v>
      </c>
      <c r="E2" s="8" t="n">
        <v>2.5</v>
      </c>
      <c r="H2" s="15" t="s">
        <v>52</v>
      </c>
      <c r="I2" s="8" t="n">
        <v>100</v>
      </c>
    </row>
    <row r="3" customFormat="false" ht="15" hidden="false" customHeight="false" outlineLevel="0" collapsed="false">
      <c r="J3" s="11" t="n">
        <v>0</v>
      </c>
      <c r="K3" s="11" t="n">
        <v>1</v>
      </c>
      <c r="L3" s="11" t="n">
        <v>2</v>
      </c>
      <c r="M3" s="11" t="n">
        <v>3</v>
      </c>
      <c r="N3" s="11" t="n">
        <v>4</v>
      </c>
      <c r="O3" s="11" t="n">
        <v>5</v>
      </c>
    </row>
    <row r="4" customFormat="false" ht="15" hidden="false" customHeight="false" outlineLevel="0" collapsed="false">
      <c r="J4" s="11" t="n">
        <f aca="false">($B$2/$E$2)^0/FACT(0)</f>
        <v>1</v>
      </c>
      <c r="K4" s="11" t="n">
        <f aca="false">($B$2/$E$2)^1/FACT(1)</f>
        <v>2.4</v>
      </c>
      <c r="L4" s="11" t="n">
        <f aca="false">($B$2/$E$2)^2/FACT(2)</f>
        <v>2.88</v>
      </c>
      <c r="M4" s="11" t="n">
        <f aca="false">($B$2/$E$2)^3/FACT(3)</f>
        <v>2.304</v>
      </c>
      <c r="N4" s="11" t="n">
        <f aca="false">($B$2/$E$2)^4/FACT(4)</f>
        <v>1.3824</v>
      </c>
      <c r="O4" s="11" t="n">
        <f aca="false">($B$2/$E$2)^5/FACT(5)</f>
        <v>0.663552</v>
      </c>
    </row>
    <row r="6" customFormat="false" ht="17.15" hidden="false" customHeight="false" outlineLevel="0" collapsed="false">
      <c r="A6" s="12" t="s">
        <v>42</v>
      </c>
      <c r="B6" s="12" t="s">
        <v>30</v>
      </c>
      <c r="C6" s="12" t="s">
        <v>32</v>
      </c>
      <c r="D6" s="12" t="s">
        <v>35</v>
      </c>
      <c r="E6" s="12" t="s">
        <v>53</v>
      </c>
      <c r="F6" s="12" t="s">
        <v>54</v>
      </c>
      <c r="G6" s="12" t="s">
        <v>33</v>
      </c>
      <c r="H6" s="3" t="s">
        <v>72</v>
      </c>
      <c r="I6" s="3" t="s">
        <v>56</v>
      </c>
      <c r="J6" s="3" t="s">
        <v>57</v>
      </c>
    </row>
    <row r="7" customFormat="false" ht="15" hidden="false" customHeight="false" outlineLevel="0" collapsed="false">
      <c r="A7" s="8" t="n">
        <v>3</v>
      </c>
      <c r="B7" s="11" t="n">
        <f aca="false">$B$2/(A7*$E$2)</f>
        <v>0.8</v>
      </c>
      <c r="C7" s="11" t="n">
        <f aca="false">1/(SUMPRODUCT(($J$3:$O$3&lt;A7)*1,$J$4:$O$4)+($B$2/$E$2)^A7/(FACT(A7)*(1-B7)))</f>
        <v>0.0561797752808989</v>
      </c>
      <c r="D7" s="11" t="n">
        <f aca="false">C7*($B$2/$E$2)^A7*B7/(FACT(A7)*(1-B7)^2)</f>
        <v>2.58876404494382</v>
      </c>
      <c r="E7" s="11" t="n">
        <f aca="false">D7/$B$2*60</f>
        <v>25.8876404494382</v>
      </c>
      <c r="F7" s="11" t="n">
        <f aca="false">D7/$B$2+1/$E$2</f>
        <v>0.831460674157304</v>
      </c>
      <c r="G7" s="11" t="n">
        <f aca="false">$B$2*F7</f>
        <v>4.98876404494382</v>
      </c>
      <c r="H7" s="11" t="n">
        <f aca="false">A7*$I$1</f>
        <v>240</v>
      </c>
      <c r="I7" s="11" t="n">
        <f aca="false">G7*$I$2</f>
        <v>498.876404494382</v>
      </c>
      <c r="J7" s="11" t="n">
        <f aca="false">H7+I7</f>
        <v>738.876404494382</v>
      </c>
    </row>
    <row r="8" customFormat="false" ht="15" hidden="false" customHeight="false" outlineLevel="0" collapsed="false">
      <c r="A8" s="8" t="n">
        <v>4</v>
      </c>
      <c r="B8" s="11" t="n">
        <f aca="false">$B$2/(A8*$E$2)</f>
        <v>0.6</v>
      </c>
      <c r="C8" s="11" t="n">
        <f aca="false">1/(SUMPRODUCT(($J$3:$O$3&lt;A8)*1,$J$4:$O$4)+($B$2/$E$2)^A8/(FACT(A8)*(1-B8)))</f>
        <v>0.0830564784053156</v>
      </c>
      <c r="D8" s="11" t="n">
        <f aca="false">C8*($B$2/$E$2)^A8*B8/(FACT(A8)*(1-B8)^2)</f>
        <v>0.430564784053156</v>
      </c>
      <c r="E8" s="11" t="n">
        <f aca="false">D8/$B$2*60</f>
        <v>4.30564784053156</v>
      </c>
      <c r="F8" s="11" t="n">
        <f aca="false">D8/$B$2+1/$E$2</f>
        <v>0.471760797342193</v>
      </c>
      <c r="G8" s="11" t="n">
        <f aca="false">$B$2*F8</f>
        <v>2.83056478405316</v>
      </c>
      <c r="H8" s="11" t="n">
        <f aca="false">A8*$I$1</f>
        <v>320</v>
      </c>
      <c r="I8" s="11" t="n">
        <f aca="false">G8*$I$2</f>
        <v>283.056478405316</v>
      </c>
      <c r="J8" s="11" t="n">
        <f aca="false">H8+I8</f>
        <v>603.056478405316</v>
      </c>
    </row>
    <row r="9" customFormat="false" ht="15" hidden="false" customHeight="false" outlineLevel="0" collapsed="false">
      <c r="A9" s="8" t="n">
        <v>5</v>
      </c>
      <c r="B9" s="11" t="n">
        <f aca="false">$B$2/(A9*$E$2)</f>
        <v>0.48</v>
      </c>
      <c r="C9" s="11" t="n">
        <f aca="false">1/(SUMPRODUCT(($J$3:$O$3&lt;A9)*1,$J$4:$O$4)+($B$2/$E$2)^A9/(FACT(A9)*(1-B9)))</f>
        <v>0.0889484919809513</v>
      </c>
      <c r="D9" s="11" t="n">
        <f aca="false">C9*($B$2/$E$2)^A9*B9/(FACT(A9)*(1-B9)^2)</f>
        <v>0.104772691865581</v>
      </c>
      <c r="E9" s="11" t="n">
        <f aca="false">D9/$B$2*60</f>
        <v>1.04772691865581</v>
      </c>
      <c r="F9" s="11" t="n">
        <f aca="false">D9/$B$2+1/$E$2</f>
        <v>0.41746211531093</v>
      </c>
      <c r="G9" s="11" t="n">
        <f aca="false">$B$2*F9</f>
        <v>2.50477269186558</v>
      </c>
      <c r="H9" s="11" t="n">
        <f aca="false">A9*$I$1</f>
        <v>400</v>
      </c>
      <c r="I9" s="11" t="n">
        <f aca="false">G9*$I$2</f>
        <v>250.477269186558</v>
      </c>
      <c r="J9" s="11" t="n">
        <f aca="false">H9+I9</f>
        <v>650.477269186558</v>
      </c>
    </row>
    <row r="11" customFormat="false" ht="15" hidden="false" customHeight="false" outlineLevel="0" collapsed="false">
      <c r="A11" s="7" t="s">
        <v>73</v>
      </c>
      <c r="B11" s="11" t="n">
        <f aca="false">INDEX(A7:A9,MATCH(MIN(J7:J9),J7:J9,0))</f>
        <v>4</v>
      </c>
    </row>
    <row r="12" customFormat="false" ht="15" hidden="false" customHeight="false" outlineLevel="0" collapsed="false">
      <c r="A12" s="7" t="s">
        <v>59</v>
      </c>
      <c r="B12" s="11" t="n">
        <f aca="false">MIN(J7:J9)</f>
        <v>603.056478405316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2026-09-15T10:07:48Z</dcterms:created>
  <dc:creator>openpyxl</dc:creator>
  <dc:description/>
  <dc:language>en-US</dc:language>
  <cp:lastModifiedBy/>
  <dcterms:modified xsi:type="dcterms:W3CDTF">2026-09-15T10:07:53Z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