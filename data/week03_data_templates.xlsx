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重心法_彈藥庫" sheetId="2" state="visible" r:id="rId4"/>
    <sheet name="02_負荷距離分析_彈藥庫" sheetId="3" state="visible" r:id="rId5"/>
    <sheet name="03_韋伯問題規劃求解" sheetId="4" state="visible" r:id="rId6"/>
    <sheet name="04_損益平衡分析" sheetId="5" state="visible" r:id="rId7"/>
    <sheet name="05_AHP選址評估" sheetId="6" state="visible" r:id="rId8"/>
    <sheet name="06_練習1_通信中繼站" sheetId="7" state="visible" r:id="rId9"/>
    <sheet name="07_練習2_野戰醫院AH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<sst xmlns="http://schemas.openxmlformats.org/spreadsheetml/2006/main" count="281" uniqueCount="123">
  <si>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Noto Sans CJK SC"/>
        <family val="2"/>
      </rPr>
      <t xml:space="preserve">週 設施選址 — 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</si>
  <si>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</si>
  <si>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</si>
  <si>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</si>
  <si>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資料內容</t>
  </si>
  <si>
    <r>
      <rPr>
        <sz val="11"/>
        <color theme="1"/>
        <rFont val="Noto Sans CJK SC"/>
        <family val="2"/>
      </rPr>
      <t xml:space="preserve">彈藥庫轉運中心（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基地）</t>
    </r>
  </si>
  <si>
    <r>
      <rPr>
        <sz val="11"/>
        <color theme="1"/>
        <rFont val="Noto Sans CJK SC"/>
        <family val="2"/>
      </rPr>
      <t xml:space="preserve">重心法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負荷距離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韋伯問題主範例</t>
    </r>
  </si>
  <si>
    <r>
      <rPr>
        <sz val="11"/>
        <color theme="1"/>
        <rFont val="Calibri"/>
        <family val="2"/>
        <charset val="1"/>
      </rPr>
      <t xml:space="preserve">B1(30,120,800) B2(90,110,650) B3(130,60,500) B4(60,40,900) B5(150,130,300); </t>
    </r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X(80,90)/Y(100,70)/Z(60,100)</t>
    </r>
  </si>
  <si>
    <r>
      <rPr>
        <sz val="11"/>
        <color theme="1"/>
        <rFont val="Noto Sans CJK SC"/>
        <family val="2"/>
      </rPr>
      <t xml:space="preserve">轉運站損益平衡（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候選地點）</t>
    </r>
  </si>
  <si>
    <t xml:space="preserve">損益平衡分析主範例</t>
  </si>
  <si>
    <t xml:space="preserve">X:FC=200000,VC=50 Y:FC=150000,VC=70 Z:FC=280000,VC=30</t>
  </si>
  <si>
    <r>
      <rPr>
        <sz val="11"/>
        <color theme="1"/>
        <rFont val="Noto Sans CJK SC"/>
        <family val="2"/>
      </rPr>
      <t xml:space="preserve">彈藥庫</t>
    </r>
    <r>
      <rPr>
        <sz val="11"/>
        <color theme="1"/>
        <rFont val="Calibri"/>
        <family val="2"/>
        <charset val="1"/>
      </rPr>
      <t xml:space="preserve">AHP</t>
    </r>
    <r>
      <rPr>
        <sz val="11"/>
        <color theme="1"/>
        <rFont val="Noto Sans CJK SC"/>
        <family val="2"/>
      </rPr>
      <t xml:space="preserve">選址（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Noto Sans CJK SC"/>
        <family val="2"/>
      </rPr>
      <t xml:space="preserve">準則）</t>
    </r>
  </si>
  <si>
    <r>
      <rPr>
        <sz val="11"/>
        <color theme="1"/>
        <rFont val="Calibri"/>
        <family val="2"/>
        <charset val="1"/>
      </rPr>
      <t xml:space="preserve">AHP</t>
    </r>
    <r>
      <rPr>
        <sz val="11"/>
        <color theme="1"/>
        <rFont val="Noto Sans CJK SC"/>
        <family val="2"/>
      </rPr>
      <t xml:space="preserve">主範例</t>
    </r>
  </si>
  <si>
    <r>
      <rPr>
        <sz val="11"/>
        <color theme="1"/>
        <rFont val="Noto Sans CJK SC"/>
        <family val="2"/>
      </rPr>
      <t xml:space="preserve">準則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安全性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交通便利性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建置成本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擴充彈性</t>
    </r>
  </si>
  <si>
    <r>
      <rPr>
        <sz val="11"/>
        <color theme="1"/>
        <rFont val="Noto Sans CJK SC"/>
        <family val="2"/>
      </rPr>
      <t xml:space="preserve">通信中繼站（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前哨站）</t>
    </r>
  </si>
  <si>
    <t xml:space="preserve">延伸練習一</t>
  </si>
  <si>
    <r>
      <rPr>
        <sz val="11"/>
        <color theme="1"/>
        <rFont val="Calibri"/>
        <family val="2"/>
        <charset val="1"/>
      </rPr>
      <t xml:space="preserve">P1(20,50,400) P2(70,90,600) P3(100,30,300) P4(40,10,500) P5(120,80,200); </t>
    </r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M(60,50)/N(80,60)</t>
    </r>
  </si>
  <si>
    <r>
      <rPr>
        <sz val="11"/>
        <color theme="1"/>
        <rFont val="Noto Sans CJK SC"/>
        <family val="2"/>
      </rPr>
      <t xml:space="preserve">野戰醫院</t>
    </r>
    <r>
      <rPr>
        <sz val="11"/>
        <color theme="1"/>
        <rFont val="Calibri"/>
        <family val="2"/>
        <charset val="1"/>
      </rPr>
      <t xml:space="preserve">AHP</t>
    </r>
    <r>
      <rPr>
        <sz val="11"/>
        <color theme="1"/>
        <rFont val="Noto Sans CJK SC"/>
        <family val="2"/>
      </rPr>
      <t xml:space="preserve">選址（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準則）</t>
    </r>
  </si>
  <si>
    <t xml:space="preserve">延伸練習二</t>
  </si>
  <si>
    <r>
      <rPr>
        <sz val="11"/>
        <color theme="1"/>
        <rFont val="Noto Sans CJK SC"/>
        <family val="2"/>
      </rPr>
      <t xml:space="preserve">準則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安全距離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後送便利性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水電基礎設施</t>
    </r>
  </si>
  <si>
    <t xml:space="preserve">示範一：重心法計算表（彈藥庫轉運中心）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</si>
  <si>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F/G</t>
    </r>
    <r>
      <rPr>
        <i val="true"/>
        <sz val="9"/>
        <color rgb="FF666666"/>
        <rFont val="Noto Sans CJK SC"/>
        <family val="2"/>
      </rPr>
      <t xml:space="preserve">欄為加權座標，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Noto Sans CJK SC"/>
        <family val="2"/>
      </rPr>
      <t xml:space="preserve">欄彙總計算理論最佳座標 </t>
    </r>
    <r>
      <rPr>
        <i val="true"/>
        <sz val="9"/>
        <color rgb="FF666666"/>
        <rFont val="Arial"/>
        <family val="0"/>
        <charset val="1"/>
      </rPr>
      <t xml:space="preserve">x̄</t>
    </r>
    <r>
      <rPr>
        <i val="true"/>
        <sz val="9"/>
        <color rgb="FF666666"/>
        <rFont val="Noto Sans CJK SC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ȳ</t>
    </r>
    <r>
      <rPr>
        <i val="true"/>
        <sz val="9"/>
        <color rgb="FF666666"/>
        <rFont val="Noto Sans CJK SC"/>
        <family val="2"/>
      </rPr>
      <t xml:space="preserve">。</t>
    </r>
  </si>
  <si>
    <t xml:space="preserve">基地</t>
  </si>
  <si>
    <r>
      <rPr>
        <b val="true"/>
        <sz val="11"/>
        <color rgb="FFFFFFFF"/>
        <rFont val="Arial"/>
        <family val="0"/>
        <charset val="1"/>
      </rPr>
      <t xml:space="preserve">x</t>
    </r>
    <r>
      <rPr>
        <b val="true"/>
        <sz val="11"/>
        <color rgb="FFFFFFFF"/>
        <rFont val="Noto Sans CJK SC"/>
        <family val="2"/>
      </rPr>
      <t xml:space="preserve">座標</t>
    </r>
  </si>
  <si>
    <r>
      <rPr>
        <b val="true"/>
        <sz val="11"/>
        <color rgb="FFFFFFFF"/>
        <rFont val="Arial"/>
        <family val="0"/>
        <charset val="1"/>
      </rPr>
      <t xml:space="preserve">y</t>
    </r>
    <r>
      <rPr>
        <b val="true"/>
        <sz val="11"/>
        <color rgb="FFFFFFFF"/>
        <rFont val="Noto Sans CJK SC"/>
        <family val="2"/>
      </rPr>
      <t xml:space="preserve">座標</t>
    </r>
  </si>
  <si>
    <t xml:space="preserve">需求量</t>
  </si>
  <si>
    <r>
      <rPr>
        <b val="true"/>
        <sz val="11"/>
        <color rgb="FFFFFFFF"/>
        <rFont val="Noto Sans CJK SC"/>
        <family val="2"/>
      </rPr>
      <t xml:space="preserve">加權</t>
    </r>
    <r>
      <rPr>
        <b val="true"/>
        <sz val="11"/>
        <color rgb="FFFFFFFF"/>
        <rFont val="Arial"/>
        <family val="0"/>
        <charset val="1"/>
      </rPr>
      <t xml:space="preserve">x(w*x)</t>
    </r>
  </si>
  <si>
    <r>
      <rPr>
        <b val="true"/>
        <sz val="11"/>
        <color rgb="FFFFFFFF"/>
        <rFont val="Noto Sans CJK SC"/>
        <family val="2"/>
      </rPr>
      <t xml:space="preserve">加權</t>
    </r>
    <r>
      <rPr>
        <b val="true"/>
        <sz val="11"/>
        <color rgb="FFFFFFFF"/>
        <rFont val="Arial"/>
        <family val="0"/>
        <charset val="1"/>
      </rPr>
      <t xml:space="preserve">y(w*y)</t>
    </r>
  </si>
  <si>
    <t xml:space="preserve">總需求量</t>
  </si>
  <si>
    <t xml:space="preserve">B1</t>
  </si>
  <si>
    <t xml:space="preserve">B2</t>
  </si>
  <si>
    <r>
      <rPr>
        <b val="true"/>
        <sz val="11"/>
        <color rgb="FF000000"/>
        <rFont val="Arial"/>
        <family val="0"/>
        <charset val="1"/>
      </rPr>
      <t xml:space="preserve">x̄</t>
    </r>
    <r>
      <rPr>
        <b val="true"/>
        <sz val="11"/>
        <color rgb="FF000000"/>
        <rFont val="Noto Sans CJK SC"/>
        <family val="2"/>
      </rPr>
      <t xml:space="preserve">（重心法</t>
    </r>
    <r>
      <rPr>
        <b val="true"/>
        <sz val="11"/>
        <color rgb="FF000000"/>
        <rFont val="Arial"/>
        <family val="0"/>
        <charset val="1"/>
      </rPr>
      <t xml:space="preserve">x</t>
    </r>
    <r>
      <rPr>
        <b val="true"/>
        <sz val="11"/>
        <color rgb="FF000000"/>
        <rFont val="Noto Sans CJK SC"/>
        <family val="2"/>
      </rPr>
      <t xml:space="preserve">座標）</t>
    </r>
  </si>
  <si>
    <t xml:space="preserve">B3</t>
  </si>
  <si>
    <t xml:space="preserve">B4</t>
  </si>
  <si>
    <r>
      <rPr>
        <b val="true"/>
        <sz val="11"/>
        <color rgb="FF000000"/>
        <rFont val="Arial"/>
        <family val="0"/>
        <charset val="1"/>
      </rPr>
      <t xml:space="preserve">ȳ</t>
    </r>
    <r>
      <rPr>
        <b val="true"/>
        <sz val="11"/>
        <color rgb="FF000000"/>
        <rFont val="Noto Sans CJK SC"/>
        <family val="2"/>
      </rPr>
      <t xml:space="preserve">（重心法</t>
    </r>
    <r>
      <rPr>
        <b val="true"/>
        <sz val="11"/>
        <color rgb="FF000000"/>
        <rFont val="Arial"/>
        <family val="0"/>
        <charset val="1"/>
      </rPr>
      <t xml:space="preserve">y</t>
    </r>
    <r>
      <rPr>
        <b val="true"/>
        <sz val="11"/>
        <color rgb="FF000000"/>
        <rFont val="Noto Sans CJK SC"/>
        <family val="2"/>
      </rPr>
      <t xml:space="preserve">座標）</t>
    </r>
  </si>
  <si>
    <t xml:space="preserve">B5</t>
  </si>
  <si>
    <t xml:space="preserve">示範二：負荷距離分析比較表（彈藥庫轉運中心）</t>
  </si>
  <si>
    <r>
      <rPr>
        <i val="true"/>
        <sz val="9"/>
        <color rgb="FF666666"/>
        <rFont val="Noto Sans CJK SC"/>
        <family val="2"/>
      </rPr>
      <t xml:space="preserve">說明：分別計算候選地點</t>
    </r>
    <r>
      <rPr>
        <i val="true"/>
        <sz val="9"/>
        <color rgb="FF666666"/>
        <rFont val="Arial"/>
        <family val="0"/>
        <charset val="1"/>
      </rPr>
      <t xml:space="preserve">X/Y/Z</t>
    </r>
    <r>
      <rPr>
        <i val="true"/>
        <sz val="9"/>
        <color rgb="FF666666"/>
        <rFont val="Noto Sans CJK SC"/>
        <family val="2"/>
      </rPr>
      <t xml:space="preserve">到各基地之距離與加權負荷距離，</t>
    </r>
    <r>
      <rPr>
        <i val="true"/>
        <sz val="9"/>
        <color rgb="FF666666"/>
        <rFont val="Arial"/>
        <family val="0"/>
        <charset val="1"/>
      </rPr>
      <t xml:space="preserve">L</t>
    </r>
    <r>
      <rPr>
        <i val="true"/>
        <sz val="9"/>
        <color rgb="FF666666"/>
        <rFont val="Noto Sans CJK SC"/>
        <family val="2"/>
      </rPr>
      <t xml:space="preserve">欄彙總比較。</t>
    </r>
  </si>
  <si>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X(80,90)</t>
    </r>
  </si>
  <si>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Y(100,70)</t>
    </r>
  </si>
  <si>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Z(60,100)</t>
    </r>
  </si>
  <si>
    <r>
      <rPr>
        <b val="true"/>
        <sz val="11"/>
        <color rgb="FFFFFFFF"/>
        <rFont val="Noto Sans CJK SC"/>
        <family val="2"/>
      </rPr>
      <t xml:space="preserve">距離</t>
    </r>
    <r>
      <rPr>
        <b val="true"/>
        <sz val="11"/>
        <color rgb="FFFFFFFF"/>
        <rFont val="Arial"/>
        <family val="0"/>
        <charset val="1"/>
      </rPr>
      <t xml:space="preserve">d</t>
    </r>
  </si>
  <si>
    <r>
      <rPr>
        <b val="true"/>
        <sz val="11"/>
        <color rgb="FFFFFFFF"/>
        <rFont val="Noto Sans CJK SC"/>
        <family val="2"/>
      </rPr>
      <t xml:space="preserve">加權</t>
    </r>
    <r>
      <rPr>
        <b val="true"/>
        <sz val="11"/>
        <color rgb="FFFFFFFF"/>
        <rFont val="Arial"/>
        <family val="0"/>
        <charset val="1"/>
      </rPr>
      <t xml:space="preserve">w*d</t>
    </r>
  </si>
  <si>
    <t xml:space="preserve">LD(X)</t>
  </si>
  <si>
    <t xml:space="preserve">LD(X)=</t>
  </si>
  <si>
    <t xml:space="preserve">LD(Y)</t>
  </si>
  <si>
    <t xml:space="preserve">LD(Z)</t>
  </si>
  <si>
    <t xml:space="preserve">示範三：韋伯問題（非線性最小運輸距離）規劃求解樣版</t>
  </si>
  <si>
    <r>
      <rPr>
        <b val="true"/>
        <sz val="11"/>
        <color rgb="FF000000"/>
        <rFont val="Noto Sans CJK SC"/>
        <family val="2"/>
      </rPr>
      <t xml:space="preserve">候選</t>
    </r>
    <r>
      <rPr>
        <b val="true"/>
        <sz val="11"/>
        <color rgb="FF000000"/>
        <rFont val="Arial"/>
        <family val="0"/>
        <charset val="1"/>
      </rPr>
      <t xml:space="preserve">x</t>
    </r>
  </si>
  <si>
    <t xml:space="preserve">加權距離總和（目標式，最小化）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</si>
  <si>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Q2/Q4</t>
    </r>
    <r>
      <rPr>
        <i val="true"/>
        <sz val="9"/>
        <color rgb="FF666666"/>
        <rFont val="Noto Sans CJK SC"/>
        <family val="2"/>
      </rPr>
      <t xml:space="preserve">為候選</t>
    </r>
    <r>
      <rPr>
        <i val="true"/>
        <sz val="9"/>
        <color rgb="FF666666"/>
        <rFont val="Arial"/>
        <family val="0"/>
        <charset val="1"/>
      </rPr>
      <t xml:space="preserve">x,y</t>
    </r>
    <r>
      <rPr>
        <i val="true"/>
        <sz val="9"/>
        <color rgb="FF666666"/>
        <rFont val="Noto Sans CJK SC"/>
        <family val="2"/>
      </rPr>
      <t xml:space="preserve">座標（黃底，初始值取自重心法結果），可用規劃求解</t>
    </r>
    <r>
      <rPr>
        <i val="true"/>
        <sz val="9"/>
        <color rgb="FF666666"/>
        <rFont val="Arial"/>
        <family val="0"/>
        <charset val="1"/>
      </rPr>
      <t xml:space="preserve">GRG</t>
    </r>
    <r>
      <rPr>
        <i val="true"/>
        <sz val="9"/>
        <color rgb="FF666666"/>
        <rFont val="Noto Sans CJK SC"/>
        <family val="2"/>
      </rPr>
      <t xml:space="preserve">非線性最小化</t>
    </r>
    <r>
      <rPr>
        <i val="true"/>
        <sz val="9"/>
        <color rgb="FF666666"/>
        <rFont val="Arial"/>
        <family val="0"/>
        <charset val="1"/>
      </rPr>
      <t xml:space="preserve">R2</t>
    </r>
    <r>
      <rPr>
        <i val="true"/>
        <sz val="9"/>
        <color rgb="FF666666"/>
        <rFont val="Noto Sans CJK SC"/>
        <family val="2"/>
      </rPr>
      <t xml:space="preserve">。</t>
    </r>
  </si>
  <si>
    <r>
      <rPr>
        <b val="true"/>
        <sz val="11"/>
        <color rgb="FF000000"/>
        <rFont val="Noto Sans CJK SC"/>
        <family val="2"/>
      </rPr>
      <t xml:space="preserve">候選</t>
    </r>
    <r>
      <rPr>
        <b val="true"/>
        <sz val="11"/>
        <color rgb="FF000000"/>
        <rFont val="Arial"/>
        <family val="0"/>
        <charset val="1"/>
      </rPr>
      <t xml:space="preserve">y</t>
    </r>
  </si>
  <si>
    <r>
      <rPr>
        <b val="true"/>
        <sz val="11"/>
        <color rgb="FFFFFFFF"/>
        <rFont val="Noto Sans CJK SC"/>
        <family val="2"/>
      </rPr>
      <t xml:space="preserve">加權距離 </t>
    </r>
    <r>
      <rPr>
        <b val="true"/>
        <sz val="11"/>
        <color rgb="FFFFFFFF"/>
        <rFont val="Arial"/>
        <family val="0"/>
        <charset val="1"/>
      </rPr>
      <t xml:space="preserve">w*d</t>
    </r>
  </si>
  <si>
    <t xml:space="preserve">示範四：損益平衡成本量能分析（轉運站候選地點）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</si>
  <si>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F/G/H</t>
    </r>
    <r>
      <rPr>
        <i val="true"/>
        <sz val="9"/>
        <color rgb="FF666666"/>
        <rFont val="Noto Sans CJK SC"/>
        <family val="2"/>
      </rPr>
      <t xml:space="preserve">欄為各產量水準下三地點之總成本，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Noto Sans CJK SC"/>
        <family val="2"/>
      </rPr>
      <t xml:space="preserve">欄自動標示最適地點。</t>
    </r>
  </si>
  <si>
    <t xml:space="preserve">候選地點</t>
  </si>
  <si>
    <r>
      <rPr>
        <b val="true"/>
        <sz val="11"/>
        <color rgb="FFFFFFFF"/>
        <rFont val="Noto Sans CJK SC"/>
        <family val="2"/>
      </rPr>
      <t xml:space="preserve">固定成本</t>
    </r>
    <r>
      <rPr>
        <b val="true"/>
        <sz val="11"/>
        <color rgb="FFFFFFFF"/>
        <rFont val="Arial"/>
        <family val="0"/>
        <charset val="1"/>
      </rPr>
      <t xml:space="preserve">FC</t>
    </r>
  </si>
  <si>
    <r>
      <rPr>
        <b val="true"/>
        <sz val="11"/>
        <color rgb="FFFFFFFF"/>
        <rFont val="Noto Sans CJK SC"/>
        <family val="2"/>
      </rPr>
      <t xml:space="preserve">單位變動成本</t>
    </r>
    <r>
      <rPr>
        <b val="true"/>
        <sz val="11"/>
        <color rgb="FFFFFFFF"/>
        <rFont val="Arial"/>
        <family val="0"/>
        <charset val="1"/>
      </rPr>
      <t xml:space="preserve">VC</t>
    </r>
  </si>
  <si>
    <r>
      <rPr>
        <b val="true"/>
        <sz val="11"/>
        <color rgb="FFFFFFFF"/>
        <rFont val="Noto Sans CJK SC"/>
        <family val="2"/>
      </rPr>
      <t xml:space="preserve">產量</t>
    </r>
    <r>
      <rPr>
        <b val="true"/>
        <sz val="11"/>
        <color rgb="FFFFFFFF"/>
        <rFont val="Arial"/>
        <family val="0"/>
        <charset val="1"/>
      </rPr>
      <t xml:space="preserve">Q</t>
    </r>
  </si>
  <si>
    <t xml:space="preserve">TC(X)</t>
  </si>
  <si>
    <t xml:space="preserve">TC(Y)</t>
  </si>
  <si>
    <t xml:space="preserve">TC(Z)</t>
  </si>
  <si>
    <t xml:space="preserve">最適地點</t>
  </si>
  <si>
    <t xml:space="preserve">X</t>
  </si>
  <si>
    <t xml:space="preserve">Y</t>
  </si>
  <si>
    <t xml:space="preserve">Z</t>
  </si>
  <si>
    <r>
      <rPr>
        <b val="true"/>
        <sz val="14"/>
        <rFont val="Noto Sans CJK SC"/>
        <family val="2"/>
      </rPr>
      <t xml:space="preserve">示範五：</t>
    </r>
    <r>
      <rPr>
        <b val="true"/>
        <sz val="14"/>
        <rFont val="Arial"/>
        <family val="0"/>
        <charset val="1"/>
      </rPr>
      <t xml:space="preserve">AHP </t>
    </r>
    <r>
      <rPr>
        <b val="true"/>
        <sz val="14"/>
        <rFont val="Noto Sans CJK SC"/>
        <family val="2"/>
      </rPr>
      <t xml:space="preserve">完整成對比較矩陣運算樣版（彈藥庫選址）</t>
    </r>
  </si>
  <si>
    <r>
      <rPr>
        <i val="true"/>
        <sz val="9"/>
        <color rgb="FF666666"/>
        <rFont val="Noto Sans CJK SC"/>
        <family val="2"/>
      </rPr>
      <t xml:space="preserve">說明：黃底為成對比較矩陣輸入值；下方自動計算正規化矩陣、權重、一致性指標</t>
    </r>
    <r>
      <rPr>
        <i val="true"/>
        <sz val="9"/>
        <color rgb="FF666666"/>
        <rFont val="Arial"/>
        <family val="0"/>
        <charset val="1"/>
      </rPr>
      <t xml:space="preserve">CI</t>
    </r>
    <r>
      <rPr>
        <i val="true"/>
        <sz val="9"/>
        <color rgb="FF666666"/>
        <rFont val="Noto Sans CJK SC"/>
        <family val="2"/>
      </rPr>
      <t xml:space="preserve">與一致性比率</t>
    </r>
    <r>
      <rPr>
        <i val="true"/>
        <sz val="9"/>
        <color rgb="FF666666"/>
        <rFont val="Arial"/>
        <family val="0"/>
        <charset val="1"/>
      </rPr>
      <t xml:space="preserve">CR</t>
    </r>
    <r>
      <rPr>
        <i val="true"/>
        <sz val="9"/>
        <color rgb="FF666666"/>
        <rFont val="Noto Sans CJK SC"/>
        <family val="2"/>
      </rPr>
      <t xml:space="preserve">。</t>
    </r>
  </si>
  <si>
    <t xml:space="preserve">準則層成對比較矩陣</t>
  </si>
  <si>
    <t xml:space="preserve">安全性</t>
  </si>
  <si>
    <t xml:space="preserve">交通便利性</t>
  </si>
  <si>
    <t xml:space="preserve">建置成本</t>
  </si>
  <si>
    <t xml:space="preserve">擴充彈性</t>
  </si>
  <si>
    <t xml:space="preserve">欄總和</t>
  </si>
  <si>
    <t xml:space="preserve">正規化矩陣</t>
  </si>
  <si>
    <r>
      <rPr>
        <b val="true"/>
        <sz val="11"/>
        <color rgb="FF000000"/>
        <rFont val="Noto Sans CJK SC"/>
        <family val="2"/>
      </rPr>
      <t xml:space="preserve">權重</t>
    </r>
    <r>
      <rPr>
        <b val="true"/>
        <sz val="11"/>
        <color rgb="FF000000"/>
        <rFont val="Arial"/>
        <family val="0"/>
        <charset val="1"/>
      </rPr>
      <t xml:space="preserve">w</t>
    </r>
  </si>
  <si>
    <t xml:space="preserve">(A*w)</t>
  </si>
  <si>
    <t xml:space="preserve">lambda_i</t>
  </si>
  <si>
    <t xml:space="preserve">lambda_max</t>
  </si>
  <si>
    <t xml:space="preserve">C.I.</t>
  </si>
  <si>
    <t xml:space="preserve">R.I.(n=4)</t>
  </si>
  <si>
    <t xml:space="preserve">C.R.</t>
  </si>
  <si>
    <t xml:space="preserve">方案層：安全性 準則下之成對比較矩陣</t>
  </si>
  <si>
    <t xml:space="preserve">方案層：交通便利性 準則下之成對比較矩陣</t>
  </si>
  <si>
    <t xml:space="preserve">地點一</t>
  </si>
  <si>
    <t xml:space="preserve">地點二</t>
  </si>
  <si>
    <t xml:space="preserve">地點三</t>
  </si>
  <si>
    <t xml:space="preserve">R.I.(n=3)</t>
  </si>
  <si>
    <t xml:space="preserve">方案層：建置成本 準則下之成對比較矩陣</t>
  </si>
  <si>
    <t xml:space="preserve">方案層：擴充彈性 準則下之成對比較矩陣</t>
  </si>
  <si>
    <t xml:space="preserve">綜合評分彙總表</t>
  </si>
  <si>
    <r>
      <rPr>
        <b val="true"/>
        <sz val="11"/>
        <color rgb="FFFFFFFF"/>
        <rFont val="Noto Sans CJK SC"/>
        <family val="2"/>
      </rPr>
      <t xml:space="preserve">安全性權重</t>
    </r>
    <r>
      <rPr>
        <b val="true"/>
        <sz val="11"/>
        <color rgb="FFFFFFFF"/>
        <rFont val="Arial"/>
        <family val="0"/>
        <charset val="1"/>
      </rPr>
      <t xml:space="preserve">(0.5628)</t>
    </r>
  </si>
  <si>
    <r>
      <rPr>
        <b val="true"/>
        <sz val="11"/>
        <color rgb="FFFFFFFF"/>
        <rFont val="Noto Sans CJK SC"/>
        <family val="2"/>
      </rPr>
      <t xml:space="preserve">交通便利性權重</t>
    </r>
    <r>
      <rPr>
        <b val="true"/>
        <sz val="11"/>
        <color rgb="FFFFFFFF"/>
        <rFont val="Arial"/>
        <family val="0"/>
        <charset val="1"/>
      </rPr>
      <t xml:space="preserve">(0.2671)</t>
    </r>
  </si>
  <si>
    <r>
      <rPr>
        <b val="true"/>
        <sz val="11"/>
        <color rgb="FFFFFFFF"/>
        <rFont val="Noto Sans CJK SC"/>
        <family val="2"/>
      </rPr>
      <t xml:space="preserve">建置成本權重</t>
    </r>
    <r>
      <rPr>
        <b val="true"/>
        <sz val="11"/>
        <color rgb="FFFFFFFF"/>
        <rFont val="Arial"/>
        <family val="0"/>
        <charset val="1"/>
      </rPr>
      <t xml:space="preserve">(0.1079)</t>
    </r>
  </si>
  <si>
    <r>
      <rPr>
        <b val="true"/>
        <sz val="11"/>
        <color rgb="FFFFFFFF"/>
        <rFont val="Noto Sans CJK SC"/>
        <family val="2"/>
      </rPr>
      <t xml:space="preserve">擴充彈性權重</t>
    </r>
    <r>
      <rPr>
        <b val="true"/>
        <sz val="11"/>
        <color rgb="FFFFFFFF"/>
        <rFont val="Arial"/>
        <family val="0"/>
        <charset val="1"/>
      </rPr>
      <t xml:space="preserve">(0.0622)</t>
    </r>
  </si>
  <si>
    <t xml:space="preserve">綜合評分</t>
  </si>
  <si>
    <t xml:space="preserve">延伸練習一：通信中繼站選址（重心法＋負荷距離分析）</t>
  </si>
  <si>
    <r>
      <rPr>
        <i val="true"/>
        <sz val="9"/>
        <color rgb="FF666666"/>
        <rFont val="Noto Sans CJK SC"/>
        <family val="2"/>
      </rPr>
      <t xml:space="preserve">說明：計算重心法座標，並比較候選地點</t>
    </r>
    <r>
      <rPr>
        <i val="true"/>
        <sz val="9"/>
        <color rgb="FF666666"/>
        <rFont val="Arial"/>
        <family val="0"/>
        <charset val="1"/>
      </rPr>
      <t xml:space="preserve">M/N</t>
    </r>
    <r>
      <rPr>
        <i val="true"/>
        <sz val="9"/>
        <color rgb="FF666666"/>
        <rFont val="Noto Sans CJK SC"/>
        <family val="2"/>
      </rPr>
      <t xml:space="preserve">之負荷距離分數。</t>
    </r>
  </si>
  <si>
    <t xml:space="preserve">前哨站</t>
  </si>
  <si>
    <r>
      <rPr>
        <b val="true"/>
        <sz val="11"/>
        <color rgb="FFFFFFFF"/>
        <rFont val="Noto Sans CJK SC"/>
        <family val="2"/>
      </rPr>
      <t xml:space="preserve">加權</t>
    </r>
    <r>
      <rPr>
        <b val="true"/>
        <sz val="11"/>
        <color rgb="FFFFFFFF"/>
        <rFont val="Arial"/>
        <family val="0"/>
        <charset val="1"/>
      </rPr>
      <t xml:space="preserve">x</t>
    </r>
  </si>
  <si>
    <r>
      <rPr>
        <b val="true"/>
        <sz val="11"/>
        <color rgb="FFFFFFFF"/>
        <rFont val="Noto Sans CJK SC"/>
        <family val="2"/>
      </rPr>
      <t xml:space="preserve">加權</t>
    </r>
    <r>
      <rPr>
        <b val="true"/>
        <sz val="11"/>
        <color rgb="FFFFFFFF"/>
        <rFont val="Arial"/>
        <family val="0"/>
        <charset val="1"/>
      </rPr>
      <t xml:space="preserve">y</t>
    </r>
  </si>
  <si>
    <t xml:space="preserve">P1</t>
  </si>
  <si>
    <t xml:space="preserve">P2</t>
  </si>
  <si>
    <t xml:space="preserve">x̄</t>
  </si>
  <si>
    <t xml:space="preserve">P3</t>
  </si>
  <si>
    <t xml:space="preserve">P4</t>
  </si>
  <si>
    <t xml:space="preserve">ȳ</t>
  </si>
  <si>
    <t xml:space="preserve">P5</t>
  </si>
  <si>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M(60,50)</t>
    </r>
  </si>
  <si>
    <r>
      <rPr>
        <sz val="11"/>
        <color theme="1"/>
        <rFont val="Noto Sans CJK SC"/>
        <family val="2"/>
      </rPr>
      <t xml:space="preserve">候選</t>
    </r>
    <r>
      <rPr>
        <sz val="11"/>
        <color theme="1"/>
        <rFont val="Calibri"/>
        <family val="2"/>
        <charset val="1"/>
      </rPr>
      <t xml:space="preserve">N(80,60)</t>
    </r>
  </si>
  <si>
    <t xml:space="preserve">LD(M)</t>
  </si>
  <si>
    <t xml:space="preserve">LD(N)</t>
  </si>
  <si>
    <r>
      <rPr>
        <b val="true"/>
        <sz val="14"/>
        <rFont val="Noto Sans CJK SC"/>
        <family val="2"/>
      </rPr>
      <t xml:space="preserve">延伸練習二：野戰醫院選址 </t>
    </r>
    <r>
      <rPr>
        <b val="true"/>
        <sz val="14"/>
        <rFont val="Arial"/>
        <family val="0"/>
        <charset val="1"/>
      </rPr>
      <t xml:space="preserve">AHP </t>
    </r>
    <r>
      <rPr>
        <b val="true"/>
        <sz val="14"/>
        <rFont val="Noto Sans CJK SC"/>
        <family val="2"/>
      </rPr>
      <t xml:space="preserve">評估</t>
    </r>
  </si>
  <si>
    <t xml:space="preserve">說明：計算準則權重、各準則下方案權重，並於下方彙總表計算綜合評分。</t>
  </si>
  <si>
    <t xml:space="preserve">安全距離</t>
  </si>
  <si>
    <t xml:space="preserve">後送便利性</t>
  </si>
  <si>
    <t xml:space="preserve">水電基礎設施</t>
  </si>
  <si>
    <t xml:space="preserve">方案層：安全距離 準則下之成對比較矩陣</t>
  </si>
  <si>
    <t xml:space="preserve">方案層：後送便利性 準則下之成對比較矩陣</t>
  </si>
  <si>
    <t xml:space="preserve">方案層：水電基礎設施 準則下之成對比較矩陣</t>
  </si>
  <si>
    <t xml:space="preserve">安全距離權重</t>
  </si>
  <si>
    <t xml:space="preserve">後送便利性權重</t>
  </si>
  <si>
    <t xml:space="preserve">水電基礎設施權重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</si>
</sst>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各候選地點總成本曲線與損益平衡點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04_損益平衡分析!F4</c:f>
              <c:strCache>
                <c:ptCount val="1"/>
                <c:pt idx="0">
                  <c:v>TC(X)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04_損益平衡分析!$E$5:$E$13</c:f>
              <c:strCach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strCache>
            </c:strRef>
          </c:cat>
          <c:val>
            <c:numRef>
              <c:f>04_損益平衡分析!$F$5:$F$13</c:f>
              <c:numCache>
                <c:formatCode>General</c:formatCode>
                <c:ptCount val="9"/>
                <c:pt idx="0">
                  <c:v>200000</c:v>
                </c:pt>
                <c:pt idx="1">
                  <c:v>250000</c:v>
                </c:pt>
                <c:pt idx="2">
                  <c:v>300000</c:v>
                </c:pt>
                <c:pt idx="3">
                  <c:v>350000</c:v>
                </c:pt>
                <c:pt idx="4">
                  <c:v>400000</c:v>
                </c:pt>
                <c:pt idx="5">
                  <c:v>450000</c:v>
                </c:pt>
                <c:pt idx="6">
                  <c:v>500000</c:v>
                </c:pt>
                <c:pt idx="7">
                  <c:v>550000</c:v>
                </c:pt>
                <c:pt idx="8">
                  <c:v>600000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04_損益平衡分析!G4</c:f>
              <c:strCache>
                <c:ptCount val="1"/>
                <c:pt idx="0">
                  <c:v>TC(Y)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04_損益平衡分析!$E$5:$E$13</c:f>
              <c:strCach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strCache>
            </c:strRef>
          </c:cat>
          <c:val>
            <c:numRef>
              <c:f>04_損益平衡分析!$G$5:$G$13</c:f>
              <c:numCache>
                <c:formatCode>General</c:formatCode>
                <c:ptCount val="9"/>
                <c:pt idx="0">
                  <c:v>150000</c:v>
                </c:pt>
                <c:pt idx="1">
                  <c:v>220000</c:v>
                </c:pt>
                <c:pt idx="2">
                  <c:v>290000</c:v>
                </c:pt>
                <c:pt idx="3">
                  <c:v>360000</c:v>
                </c:pt>
                <c:pt idx="4">
                  <c:v>430000</c:v>
                </c:pt>
                <c:pt idx="5">
                  <c:v>500000</c:v>
                </c:pt>
                <c:pt idx="6">
                  <c:v>570000</c:v>
                </c:pt>
                <c:pt idx="7">
                  <c:v>640000</c:v>
                </c:pt>
                <c:pt idx="8">
                  <c:v>710000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04_損益平衡分析!H4</c:f>
              <c:strCache>
                <c:ptCount val="1"/>
                <c:pt idx="0">
                  <c:v>TC(Z)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04_損益平衡分析!$E$5:$E$13</c:f>
              <c:strCach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strCache>
            </c:strRef>
          </c:cat>
          <c:val>
            <c:numRef>
              <c:f>04_損益平衡分析!$H$5:$H$13</c:f>
              <c:numCache>
                <c:formatCode>General</c:formatCode>
                <c:ptCount val="9"/>
                <c:pt idx="0">
                  <c:v>280000</c:v>
                </c:pt>
                <c:pt idx="1">
                  <c:v>310000</c:v>
                </c:pt>
                <c:pt idx="2">
                  <c:v>340000</c:v>
                </c:pt>
                <c:pt idx="3">
                  <c:v>370000</c:v>
                </c:pt>
                <c:pt idx="4">
                  <c:v>400000</c:v>
                </c:pt>
                <c:pt idx="5">
                  <c:v>430000</c:v>
                </c:pt>
                <c:pt idx="6">
                  <c:v>460000</c:v>
                </c:pt>
                <c:pt idx="7">
                  <c:v>490000</c:v>
                </c:pt>
                <c:pt idx="8">
                  <c:v>520000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758413"/>
        <c:axId val="20651449"/>
      </c:lineChart>
      <c:catAx>
        <c:axId val="487584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產量 Q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51449"/>
        <c:crosses val="autoZero"/>
        <c:auto val="1"/>
        <c:lblAlgn val="ctr"/>
        <c:lblOffset val="100"/>
        <c:noMultiLvlLbl val="0"/>
      </c:catAx>
      <c:valAx>
        <c:axId val="20651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總成本（元）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584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18</xdr:col>
      <xdr:colOff>507600</xdr:colOff>
      <xdr:row>16</xdr:row>
      <xdr:rowOff>166320</xdr:rowOff>
    </xdr:to>
    <xdr:graphicFrame>
      <xdr:nvGraphicFramePr>
        <xdr:cNvPr id="0" name="Chart 1"/>
        <xdr:cNvGraphicFramePr/>
      </xdr:nvGraphicFramePr>
      <xdr:xfrm>
        <a:off x="69552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8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.5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17.15" hidden="false" customHeight="false" outlineLevel="0" collapsed="false">
      <c r="A6" s="4" t="s">
        <v>8</v>
      </c>
      <c r="B6" s="4" t="s">
        <v>9</v>
      </c>
      <c r="C6" s="5" t="s">
        <v>10</v>
      </c>
    </row>
    <row r="7" customFormat="false" ht="17.15" hidden="false" customHeight="false" outlineLevel="0" collapsed="false">
      <c r="A7" s="4" t="s">
        <v>11</v>
      </c>
      <c r="B7" s="6" t="s">
        <v>12</v>
      </c>
      <c r="C7" s="7" t="s">
        <v>13</v>
      </c>
    </row>
    <row r="8" customFormat="false" ht="30.55" hidden="false" customHeight="false" outlineLevel="0" collapsed="false">
      <c r="A8" s="4" t="s">
        <v>14</v>
      </c>
      <c r="B8" s="4" t="s">
        <v>15</v>
      </c>
      <c r="C8" s="5" t="s">
        <v>16</v>
      </c>
    </row>
    <row r="9" customFormat="false" ht="17.15" hidden="false" customHeight="false" outlineLevel="0" collapsed="false">
      <c r="A9" s="4" t="s">
        <v>17</v>
      </c>
      <c r="B9" s="4" t="s">
        <v>18</v>
      </c>
      <c r="C9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3"/>
    <col collapsed="false" customWidth="true" hidden="false" outlineLevel="0" max="7" min="6" style="0" width="14"/>
    <col collapsed="false" customWidth="true" hidden="false" outlineLevel="0" max="8" min="8" style="0" width="3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7.15" hidden="false" customHeight="false" outlineLevel="0" collapsed="false">
      <c r="A4" s="3" t="s">
        <v>22</v>
      </c>
      <c r="B4" s="8" t="s">
        <v>23</v>
      </c>
      <c r="C4" s="8" t="s">
        <v>24</v>
      </c>
      <c r="D4" s="3" t="s">
        <v>25</v>
      </c>
      <c r="F4" s="3" t="s">
        <v>26</v>
      </c>
      <c r="G4" s="3" t="s">
        <v>27</v>
      </c>
      <c r="I4" s="9" t="s">
        <v>28</v>
      </c>
    </row>
    <row r="5" customFormat="false" ht="15" hidden="false" customHeight="false" outlineLevel="0" collapsed="false">
      <c r="A5" s="10" t="s">
        <v>29</v>
      </c>
      <c r="B5" s="11" t="n">
        <v>30</v>
      </c>
      <c r="C5" s="11" t="n">
        <v>120</v>
      </c>
      <c r="D5" s="11" t="n">
        <v>800</v>
      </c>
      <c r="F5" s="12" t="n">
        <f aca="false">B5*D5</f>
        <v>24000</v>
      </c>
      <c r="G5" s="12" t="n">
        <f aca="false">C5*D5</f>
        <v>96000</v>
      </c>
      <c r="I5" s="12" t="n">
        <f aca="false">SUM(D5:D9)</f>
        <v>3150</v>
      </c>
    </row>
    <row r="6" customFormat="false" ht="17.15" hidden="false" customHeight="false" outlineLevel="0" collapsed="false">
      <c r="A6" s="10" t="s">
        <v>30</v>
      </c>
      <c r="B6" s="11" t="n">
        <v>90</v>
      </c>
      <c r="C6" s="11" t="n">
        <v>110</v>
      </c>
      <c r="D6" s="11" t="n">
        <v>650</v>
      </c>
      <c r="F6" s="12" t="n">
        <f aca="false">B6*D6</f>
        <v>58500</v>
      </c>
      <c r="G6" s="12" t="n">
        <f aca="false">C6*D6</f>
        <v>71500</v>
      </c>
      <c r="I6" s="13" t="s">
        <v>31</v>
      </c>
    </row>
    <row r="7" customFormat="false" ht="15" hidden="false" customHeight="false" outlineLevel="0" collapsed="false">
      <c r="A7" s="10" t="s">
        <v>32</v>
      </c>
      <c r="B7" s="11" t="n">
        <v>130</v>
      </c>
      <c r="C7" s="11" t="n">
        <v>60</v>
      </c>
      <c r="D7" s="11" t="n">
        <v>500</v>
      </c>
      <c r="F7" s="12" t="n">
        <f aca="false">B7*D7</f>
        <v>65000</v>
      </c>
      <c r="G7" s="12" t="n">
        <f aca="false">C7*D7</f>
        <v>30000</v>
      </c>
      <c r="I7" s="12" t="n">
        <f aca="false">SUM(F5:F9)/I5</f>
        <v>78.2539682539683</v>
      </c>
    </row>
    <row r="8" customFormat="false" ht="17.15" hidden="false" customHeight="false" outlineLevel="0" collapsed="false">
      <c r="A8" s="10" t="s">
        <v>33</v>
      </c>
      <c r="B8" s="11" t="n">
        <v>60</v>
      </c>
      <c r="C8" s="11" t="n">
        <v>40</v>
      </c>
      <c r="D8" s="11" t="n">
        <v>900</v>
      </c>
      <c r="F8" s="12" t="n">
        <f aca="false">B8*D8</f>
        <v>54000</v>
      </c>
      <c r="G8" s="12" t="n">
        <f aca="false">C8*D8</f>
        <v>36000</v>
      </c>
      <c r="I8" s="13" t="s">
        <v>34</v>
      </c>
    </row>
    <row r="9" customFormat="false" ht="15" hidden="false" customHeight="false" outlineLevel="0" collapsed="false">
      <c r="A9" s="10" t="s">
        <v>35</v>
      </c>
      <c r="B9" s="11" t="n">
        <v>150</v>
      </c>
      <c r="C9" s="11" t="n">
        <v>130</v>
      </c>
      <c r="D9" s="11" t="n">
        <v>300</v>
      </c>
      <c r="F9" s="12" t="n">
        <f aca="false">B9*D9</f>
        <v>45000</v>
      </c>
      <c r="G9" s="12" t="n">
        <f aca="false">C9*D9</f>
        <v>39000</v>
      </c>
      <c r="I9" s="12" t="n">
        <f aca="false">SUM(G5:G9)/I5</f>
        <v>86.5079365079365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7.15" hidden="false" customHeight="false" outlineLevel="0" collapsed="false">
      <c r="F3" s="14" t="s">
        <v>38</v>
      </c>
      <c r="I3" s="14" t="s">
        <v>39</v>
      </c>
      <c r="L3" s="14" t="s">
        <v>40</v>
      </c>
    </row>
    <row r="4" customFormat="false" ht="17.15" hidden="false" customHeight="false" outlineLevel="0" collapsed="false">
      <c r="A4" s="3" t="s">
        <v>22</v>
      </c>
      <c r="B4" s="8" t="s">
        <v>23</v>
      </c>
      <c r="C4" s="8" t="s">
        <v>24</v>
      </c>
      <c r="D4" s="3" t="s">
        <v>25</v>
      </c>
      <c r="F4" s="3" t="s">
        <v>41</v>
      </c>
      <c r="G4" s="3" t="s">
        <v>42</v>
      </c>
      <c r="I4" s="3" t="s">
        <v>41</v>
      </c>
      <c r="J4" s="3" t="s">
        <v>42</v>
      </c>
      <c r="L4" s="3" t="s">
        <v>41</v>
      </c>
      <c r="M4" s="3" t="s">
        <v>42</v>
      </c>
    </row>
    <row r="5" customFormat="false" ht="15" hidden="false" customHeight="false" outlineLevel="0" collapsed="false">
      <c r="A5" s="10" t="s">
        <v>29</v>
      </c>
      <c r="B5" s="11" t="n">
        <v>30</v>
      </c>
      <c r="C5" s="11" t="n">
        <v>120</v>
      </c>
      <c r="D5" s="11" t="n">
        <v>800</v>
      </c>
      <c r="F5" s="12" t="n">
        <f aca="false">SQRT((80-B5)^2+(90-C5)^2)</f>
        <v>58.309518948453</v>
      </c>
      <c r="G5" s="12" t="n">
        <f aca="false">F5*D5</f>
        <v>46647.6151587624</v>
      </c>
      <c r="I5" s="12" t="n">
        <f aca="false">SQRT((100-B5)^2+(70-C5)^2)</f>
        <v>86.0232526704263</v>
      </c>
      <c r="J5" s="12" t="n">
        <f aca="false">I5*D5</f>
        <v>68818.602136341</v>
      </c>
      <c r="L5" s="12" t="n">
        <f aca="false">SQRT((60-B5)^2+(100-C5)^2)</f>
        <v>36.0555127546399</v>
      </c>
      <c r="M5" s="12" t="n">
        <f aca="false">L5*D5</f>
        <v>28844.4102037119</v>
      </c>
    </row>
    <row r="6" customFormat="false" ht="15" hidden="false" customHeight="false" outlineLevel="0" collapsed="false">
      <c r="A6" s="10" t="s">
        <v>30</v>
      </c>
      <c r="B6" s="11" t="n">
        <v>90</v>
      </c>
      <c r="C6" s="11" t="n">
        <v>110</v>
      </c>
      <c r="D6" s="11" t="n">
        <v>650</v>
      </c>
      <c r="F6" s="12" t="n">
        <f aca="false">SQRT((80-B6)^2+(90-C6)^2)</f>
        <v>22.3606797749979</v>
      </c>
      <c r="G6" s="12" t="n">
        <f aca="false">F6*D6</f>
        <v>14534.4418537486</v>
      </c>
      <c r="I6" s="12" t="n">
        <f aca="false">SQRT((100-B6)^2+(70-C6)^2)</f>
        <v>41.2310562561766</v>
      </c>
      <c r="J6" s="12" t="n">
        <f aca="false">I6*D6</f>
        <v>26800.1865665148</v>
      </c>
      <c r="L6" s="12" t="n">
        <f aca="false">SQRT((60-B6)^2+(100-C6)^2)</f>
        <v>31.6227766016838</v>
      </c>
      <c r="M6" s="12" t="n">
        <f aca="false">L6*D6</f>
        <v>20554.8047910945</v>
      </c>
    </row>
    <row r="7" customFormat="false" ht="15" hidden="false" customHeight="false" outlineLevel="0" collapsed="false">
      <c r="A7" s="10" t="s">
        <v>32</v>
      </c>
      <c r="B7" s="11" t="n">
        <v>130</v>
      </c>
      <c r="C7" s="11" t="n">
        <v>60</v>
      </c>
      <c r="D7" s="11" t="n">
        <v>500</v>
      </c>
      <c r="F7" s="12" t="n">
        <f aca="false">SQRT((80-B7)^2+(90-C7)^2)</f>
        <v>58.309518948453</v>
      </c>
      <c r="G7" s="12" t="n">
        <f aca="false">F7*D7</f>
        <v>29154.7594742265</v>
      </c>
      <c r="I7" s="12" t="n">
        <f aca="false">SQRT((100-B7)^2+(70-C7)^2)</f>
        <v>31.6227766016838</v>
      </c>
      <c r="J7" s="12" t="n">
        <f aca="false">I7*D7</f>
        <v>15811.3883008419</v>
      </c>
      <c r="L7" s="12" t="n">
        <f aca="false">SQRT((60-B7)^2+(100-C7)^2)</f>
        <v>80.6225774829855</v>
      </c>
      <c r="M7" s="12" t="n">
        <f aca="false">L7*D7</f>
        <v>40311.2887414927</v>
      </c>
    </row>
    <row r="8" customFormat="false" ht="15" hidden="false" customHeight="false" outlineLevel="0" collapsed="false">
      <c r="A8" s="10" t="s">
        <v>33</v>
      </c>
      <c r="B8" s="11" t="n">
        <v>60</v>
      </c>
      <c r="C8" s="11" t="n">
        <v>40</v>
      </c>
      <c r="D8" s="11" t="n">
        <v>900</v>
      </c>
      <c r="F8" s="12" t="n">
        <f aca="false">SQRT((80-B8)^2+(90-C8)^2)</f>
        <v>53.851648071345</v>
      </c>
      <c r="G8" s="12" t="n">
        <f aca="false">F8*D8</f>
        <v>48466.4832642105</v>
      </c>
      <c r="I8" s="12" t="n">
        <f aca="false">SQRT((100-B8)^2+(70-C8)^2)</f>
        <v>50</v>
      </c>
      <c r="J8" s="12" t="n">
        <f aca="false">I8*D8</f>
        <v>45000</v>
      </c>
      <c r="L8" s="12" t="n">
        <f aca="false">SQRT((60-B8)^2+(100-C8)^2)</f>
        <v>60</v>
      </c>
      <c r="M8" s="12" t="n">
        <f aca="false">L8*D8</f>
        <v>54000</v>
      </c>
    </row>
    <row r="9" customFormat="false" ht="15" hidden="false" customHeight="false" outlineLevel="0" collapsed="false">
      <c r="A9" s="10" t="s">
        <v>35</v>
      </c>
      <c r="B9" s="11" t="n">
        <v>150</v>
      </c>
      <c r="C9" s="11" t="n">
        <v>130</v>
      </c>
      <c r="D9" s="11" t="n">
        <v>300</v>
      </c>
      <c r="F9" s="12" t="n">
        <f aca="false">SQRT((80-B9)^2+(90-C9)^2)</f>
        <v>80.6225774829855</v>
      </c>
      <c r="G9" s="12" t="n">
        <f aca="false">F9*D9</f>
        <v>24186.7732448957</v>
      </c>
      <c r="I9" s="12" t="n">
        <f aca="false">SQRT((100-B9)^2+(70-C9)^2)</f>
        <v>78.1024967590665</v>
      </c>
      <c r="J9" s="12" t="n">
        <f aca="false">I9*D9</f>
        <v>23430.74902772</v>
      </c>
      <c r="L9" s="12" t="n">
        <f aca="false">SQRT((60-B9)^2+(100-C9)^2)</f>
        <v>94.8683298050514</v>
      </c>
      <c r="M9" s="12" t="n">
        <f aca="false">L9*D9</f>
        <v>28460.4989415154</v>
      </c>
    </row>
    <row r="11" customFormat="false" ht="15" hidden="false" customHeight="false" outlineLevel="0" collapsed="false">
      <c r="A11" s="13" t="s">
        <v>43</v>
      </c>
      <c r="B11" s="12" t="n">
        <f aca="false">SUM(G5:G9)</f>
        <v>162990.072995844</v>
      </c>
      <c r="E11" s="15" t="s">
        <v>44</v>
      </c>
    </row>
    <row r="12" customFormat="false" ht="15" hidden="false" customHeight="false" outlineLevel="0" collapsed="false">
      <c r="A12" s="13" t="s">
        <v>45</v>
      </c>
      <c r="B12" s="12" t="n">
        <f aca="false">SUM(J5:J9)</f>
        <v>179860.926031418</v>
      </c>
    </row>
    <row r="13" customFormat="false" ht="15" hidden="false" customHeight="false" outlineLevel="0" collapsed="false">
      <c r="A13" s="13" t="s">
        <v>46</v>
      </c>
      <c r="B13" s="12" t="n">
        <f aca="false">SUM(M5:M9)</f>
        <v>172171.002677815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3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17" min="8" style="0" width="10"/>
  </cols>
  <sheetData>
    <row r="1" customFormat="false" ht="17.35" hidden="false" customHeight="false" outlineLevel="0" collapsed="false">
      <c r="A1" s="1" t="s">
        <v>47</v>
      </c>
      <c r="Q1" s="9" t="s">
        <v>48</v>
      </c>
      <c r="R1" s="9" t="s">
        <v>49</v>
      </c>
    </row>
    <row r="2" customFormat="false" ht="15" hidden="false" customHeight="false" outlineLevel="0" collapsed="false">
      <c r="A2" s="2" t="s">
        <v>50</v>
      </c>
      <c r="Q2" s="11" t="n">
        <v>78.25</v>
      </c>
      <c r="R2" s="12" t="n">
        <f aca="false">SUM(F5:F9)</f>
        <v>163268.17547589</v>
      </c>
    </row>
    <row r="3" customFormat="false" ht="17.15" hidden="false" customHeight="false" outlineLevel="0" collapsed="false">
      <c r="Q3" s="9" t="s">
        <v>51</v>
      </c>
    </row>
    <row r="4" customFormat="false" ht="17.15" hidden="false" customHeight="false" outlineLevel="0" collapsed="false">
      <c r="A4" s="3" t="s">
        <v>22</v>
      </c>
      <c r="B4" s="8" t="s">
        <v>23</v>
      </c>
      <c r="C4" s="8" t="s">
        <v>24</v>
      </c>
      <c r="D4" s="3" t="s">
        <v>25</v>
      </c>
      <c r="F4" s="3" t="s">
        <v>52</v>
      </c>
      <c r="Q4" s="11" t="n">
        <v>86.51</v>
      </c>
    </row>
    <row r="5" customFormat="false" ht="15" hidden="false" customHeight="false" outlineLevel="0" collapsed="false">
      <c r="A5" s="10" t="s">
        <v>29</v>
      </c>
      <c r="B5" s="11" t="n">
        <v>30</v>
      </c>
      <c r="C5" s="11" t="n">
        <v>120</v>
      </c>
      <c r="D5" s="11" t="n">
        <v>800</v>
      </c>
      <c r="F5" s="12" t="n">
        <f aca="false">D5*SQRT(($Q$2-B5)^2+($Q$4-C5)^2)</f>
        <v>46986.9265221721</v>
      </c>
    </row>
    <row r="6" customFormat="false" ht="15" hidden="false" customHeight="false" outlineLevel="0" collapsed="false">
      <c r="A6" s="10" t="s">
        <v>30</v>
      </c>
      <c r="B6" s="11" t="n">
        <v>90</v>
      </c>
      <c r="C6" s="11" t="n">
        <v>110</v>
      </c>
      <c r="D6" s="11" t="n">
        <v>650</v>
      </c>
      <c r="F6" s="12" t="n">
        <f aca="false">D6*SQRT(($Q$2-B6)^2+($Q$4-C6)^2)</f>
        <v>17072.1556488921</v>
      </c>
    </row>
    <row r="7" customFormat="false" ht="15" hidden="false" customHeight="false" outlineLevel="0" collapsed="false">
      <c r="A7" s="10" t="s">
        <v>32</v>
      </c>
      <c r="B7" s="11" t="n">
        <v>130</v>
      </c>
      <c r="C7" s="11" t="n">
        <v>60</v>
      </c>
      <c r="D7" s="11" t="n">
        <v>500</v>
      </c>
      <c r="F7" s="12" t="n">
        <f aca="false">D7*SQRT(($Q$2-B7)^2+($Q$4-C7)^2)</f>
        <v>29072.5067718627</v>
      </c>
    </row>
    <row r="8" customFormat="false" ht="15" hidden="false" customHeight="false" outlineLevel="0" collapsed="false">
      <c r="A8" s="10" t="s">
        <v>33</v>
      </c>
      <c r="B8" s="11" t="n">
        <v>60</v>
      </c>
      <c r="C8" s="11" t="n">
        <v>40</v>
      </c>
      <c r="D8" s="11" t="n">
        <v>900</v>
      </c>
      <c r="F8" s="12" t="n">
        <f aca="false">D8*SQRT(($Q$2-B8)^2+($Q$4-C8)^2)</f>
        <v>44966.1706841933</v>
      </c>
    </row>
    <row r="9" customFormat="false" ht="15" hidden="false" customHeight="false" outlineLevel="0" collapsed="false">
      <c r="A9" s="10" t="s">
        <v>35</v>
      </c>
      <c r="B9" s="11" t="n">
        <v>150</v>
      </c>
      <c r="C9" s="11" t="n">
        <v>130</v>
      </c>
      <c r="D9" s="11" t="n">
        <v>300</v>
      </c>
      <c r="F9" s="12" t="n">
        <f aca="false">D9*SQRT(($Q$2-B9)^2+($Q$4-C9)^2)</f>
        <v>25170.4158487698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8"/>
    <col collapsed="false" customWidth="true" hidden="false" outlineLevel="0" max="9" min="6" style="0" width="1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7.15" hidden="false" customHeight="false" outlineLevel="0" collapsed="false">
      <c r="A4" s="3" t="s">
        <v>55</v>
      </c>
      <c r="B4" s="3" t="s">
        <v>56</v>
      </c>
      <c r="C4" s="3" t="s">
        <v>57</v>
      </c>
      <c r="E4" s="3" t="s">
        <v>58</v>
      </c>
      <c r="F4" s="8" t="s">
        <v>59</v>
      </c>
      <c r="G4" s="8" t="s">
        <v>60</v>
      </c>
      <c r="H4" s="8" t="s">
        <v>61</v>
      </c>
      <c r="I4" s="3" t="s">
        <v>62</v>
      </c>
    </row>
    <row r="5" customFormat="false" ht="15" hidden="false" customHeight="false" outlineLevel="0" collapsed="false">
      <c r="A5" s="10" t="s">
        <v>63</v>
      </c>
      <c r="B5" s="11" t="n">
        <v>200000</v>
      </c>
      <c r="C5" s="11" t="n">
        <v>50</v>
      </c>
      <c r="E5" s="11" t="n">
        <v>0</v>
      </c>
      <c r="F5" s="12" t="n">
        <f aca="false">$B$5+$C$5*E5</f>
        <v>200000</v>
      </c>
      <c r="G5" s="12" t="n">
        <f aca="false">$B$6+$C$6*E5</f>
        <v>150000</v>
      </c>
      <c r="H5" s="12" t="n">
        <f aca="false">$B$7+$C$7*E5</f>
        <v>280000</v>
      </c>
      <c r="I5" s="12" t="str">
        <f aca="false">INDEX({"X","Y","Z"},MATCH(MIN(F5:H5),F5:H5,0))</f>
        <v>Y</v>
      </c>
    </row>
    <row r="6" customFormat="false" ht="15" hidden="false" customHeight="false" outlineLevel="0" collapsed="false">
      <c r="A6" s="10" t="s">
        <v>64</v>
      </c>
      <c r="B6" s="11" t="n">
        <v>150000</v>
      </c>
      <c r="C6" s="11" t="n">
        <v>70</v>
      </c>
      <c r="E6" s="11" t="n">
        <v>1000</v>
      </c>
      <c r="F6" s="12" t="n">
        <f aca="false">$B$5+$C$5*E6</f>
        <v>250000</v>
      </c>
      <c r="G6" s="12" t="n">
        <f aca="false">$B$6+$C$6*E6</f>
        <v>220000</v>
      </c>
      <c r="H6" s="12" t="n">
        <f aca="false">$B$7+$C$7*E6</f>
        <v>310000</v>
      </c>
      <c r="I6" s="12" t="str">
        <f aca="false">INDEX({"X","Y","Z"},MATCH(MIN(F6:H6),F6:H6,0))</f>
        <v>Y</v>
      </c>
    </row>
    <row r="7" customFormat="false" ht="15" hidden="false" customHeight="false" outlineLevel="0" collapsed="false">
      <c r="A7" s="10" t="s">
        <v>65</v>
      </c>
      <c r="B7" s="11" t="n">
        <v>280000</v>
      </c>
      <c r="C7" s="11" t="n">
        <v>30</v>
      </c>
      <c r="E7" s="11" t="n">
        <v>2000</v>
      </c>
      <c r="F7" s="12" t="n">
        <f aca="false">$B$5+$C$5*E7</f>
        <v>300000</v>
      </c>
      <c r="G7" s="12" t="n">
        <f aca="false">$B$6+$C$6*E7</f>
        <v>290000</v>
      </c>
      <c r="H7" s="12" t="n">
        <f aca="false">$B$7+$C$7*E7</f>
        <v>340000</v>
      </c>
      <c r="I7" s="12" t="str">
        <f aca="false">INDEX({"X","Y","Z"},MATCH(MIN(F7:H7),F7:H7,0))</f>
        <v>Y</v>
      </c>
    </row>
    <row r="8" customFormat="false" ht="15" hidden="false" customHeight="false" outlineLevel="0" collapsed="false">
      <c r="E8" s="11" t="n">
        <v>3000</v>
      </c>
      <c r="F8" s="12" t="n">
        <f aca="false">$B$5+$C$5*E8</f>
        <v>350000</v>
      </c>
      <c r="G8" s="12" t="n">
        <f aca="false">$B$6+$C$6*E8</f>
        <v>360000</v>
      </c>
      <c r="H8" s="12" t="n">
        <f aca="false">$B$7+$C$7*E8</f>
        <v>370000</v>
      </c>
      <c r="I8" s="12" t="str">
        <f aca="false">INDEX({"X","Y","Z"},MATCH(MIN(F8:H8),F8:H8,0))</f>
        <v>X</v>
      </c>
    </row>
    <row r="9" customFormat="false" ht="15" hidden="false" customHeight="false" outlineLevel="0" collapsed="false">
      <c r="E9" s="11" t="n">
        <v>4000</v>
      </c>
      <c r="F9" s="12" t="n">
        <f aca="false">$B$5+$C$5*E9</f>
        <v>400000</v>
      </c>
      <c r="G9" s="12" t="n">
        <f aca="false">$B$6+$C$6*E9</f>
        <v>430000</v>
      </c>
      <c r="H9" s="12" t="n">
        <f aca="false">$B$7+$C$7*E9</f>
        <v>400000</v>
      </c>
      <c r="I9" s="12" t="str">
        <f aca="false">INDEX({"X","Y","Z"},MATCH(MIN(F9:H9),F9:H9,0))</f>
        <v>X</v>
      </c>
    </row>
    <row r="10" customFormat="false" ht="15" hidden="false" customHeight="false" outlineLevel="0" collapsed="false">
      <c r="E10" s="11" t="n">
        <v>5000</v>
      </c>
      <c r="F10" s="12" t="n">
        <f aca="false">$B$5+$C$5*E10</f>
        <v>450000</v>
      </c>
      <c r="G10" s="12" t="n">
        <f aca="false">$B$6+$C$6*E10</f>
        <v>500000</v>
      </c>
      <c r="H10" s="12" t="n">
        <f aca="false">$B$7+$C$7*E10</f>
        <v>430000</v>
      </c>
      <c r="I10" s="12" t="str">
        <f aca="false">INDEX({"X","Y","Z"},MATCH(MIN(F10:H10),F10:H10,0))</f>
        <v>Z</v>
      </c>
    </row>
    <row r="11" customFormat="false" ht="15" hidden="false" customHeight="false" outlineLevel="0" collapsed="false">
      <c r="E11" s="11" t="n">
        <v>6000</v>
      </c>
      <c r="F11" s="12" t="n">
        <f aca="false">$B$5+$C$5*E11</f>
        <v>500000</v>
      </c>
      <c r="G11" s="12" t="n">
        <f aca="false">$B$6+$C$6*E11</f>
        <v>570000</v>
      </c>
      <c r="H11" s="12" t="n">
        <f aca="false">$B$7+$C$7*E11</f>
        <v>460000</v>
      </c>
      <c r="I11" s="12" t="str">
        <f aca="false">INDEX({"X","Y","Z"},MATCH(MIN(F11:H11),F11:H11,0))</f>
        <v>Z</v>
      </c>
    </row>
    <row r="12" customFormat="false" ht="15" hidden="false" customHeight="false" outlineLevel="0" collapsed="false">
      <c r="E12" s="11" t="n">
        <v>7000</v>
      </c>
      <c r="F12" s="12" t="n">
        <f aca="false">$B$5+$C$5*E12</f>
        <v>550000</v>
      </c>
      <c r="G12" s="12" t="n">
        <f aca="false">$B$6+$C$6*E12</f>
        <v>640000</v>
      </c>
      <c r="H12" s="12" t="n">
        <f aca="false">$B$7+$C$7*E12</f>
        <v>490000</v>
      </c>
      <c r="I12" s="12" t="str">
        <f aca="false">INDEX({"X","Y","Z"},MATCH(MIN(F12:H12),F12:H12,0))</f>
        <v>Z</v>
      </c>
    </row>
    <row r="13" customFormat="false" ht="15" hidden="false" customHeight="false" outlineLevel="0" collapsed="false">
      <c r="E13" s="11" t="n">
        <v>8000</v>
      </c>
      <c r="F13" s="12" t="n">
        <f aca="false">$B$5+$C$5*E13</f>
        <v>600000</v>
      </c>
      <c r="G13" s="12" t="n">
        <f aca="false">$B$6+$C$6*E13</f>
        <v>710000</v>
      </c>
      <c r="H13" s="12" t="n">
        <f aca="false">$B$7+$C$7*E13</f>
        <v>520000</v>
      </c>
      <c r="I13" s="12" t="str">
        <f aca="false">INDEX({"X","Y","Z"},MATCH(MIN(F13:H13),F13:H13,0))</f>
        <v>Z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6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9" t="s">
        <v>68</v>
      </c>
    </row>
    <row r="5" customFormat="false" ht="17.15" hidden="false" customHeight="false" outlineLevel="0" collapsed="false">
      <c r="B5" s="16" t="s">
        <v>69</v>
      </c>
      <c r="C5" s="16" t="s">
        <v>70</v>
      </c>
      <c r="D5" s="16" t="s">
        <v>71</v>
      </c>
      <c r="E5" s="16" t="s">
        <v>72</v>
      </c>
    </row>
    <row r="6" customFormat="false" ht="15" hidden="false" customHeight="false" outlineLevel="0" collapsed="false">
      <c r="A6" s="17" t="s">
        <v>69</v>
      </c>
      <c r="B6" s="11" t="n">
        <v>1</v>
      </c>
      <c r="C6" s="11" t="n">
        <v>3</v>
      </c>
      <c r="D6" s="11" t="n">
        <v>5</v>
      </c>
      <c r="E6" s="11" t="n">
        <v>7</v>
      </c>
    </row>
    <row r="7" customFormat="false" ht="15" hidden="false" customHeight="false" outlineLevel="0" collapsed="false">
      <c r="A7" s="17" t="s">
        <v>70</v>
      </c>
      <c r="B7" s="11" t="n">
        <f aca="false">1/C6</f>
        <v>0.333333333333333</v>
      </c>
      <c r="C7" s="11" t="n">
        <v>1</v>
      </c>
      <c r="D7" s="11" t="n">
        <v>3</v>
      </c>
      <c r="E7" s="11" t="n">
        <v>5</v>
      </c>
    </row>
    <row r="8" customFormat="false" ht="15" hidden="false" customHeight="false" outlineLevel="0" collapsed="false">
      <c r="A8" s="17" t="s">
        <v>71</v>
      </c>
      <c r="B8" s="11" t="n">
        <f aca="false">1/D6</f>
        <v>0.2</v>
      </c>
      <c r="C8" s="11" t="n">
        <f aca="false">1/D7</f>
        <v>0.333333333333333</v>
      </c>
      <c r="D8" s="11" t="n">
        <v>1</v>
      </c>
      <c r="E8" s="11" t="n">
        <v>2</v>
      </c>
    </row>
    <row r="9" customFormat="false" ht="15" hidden="false" customHeight="false" outlineLevel="0" collapsed="false">
      <c r="A9" s="17" t="s">
        <v>72</v>
      </c>
      <c r="B9" s="11" t="n">
        <f aca="false">1/E6</f>
        <v>0.142857142857143</v>
      </c>
      <c r="C9" s="11" t="n">
        <f aca="false">1/E7</f>
        <v>0.2</v>
      </c>
      <c r="D9" s="11" t="n">
        <f aca="false">1/E8</f>
        <v>0.5</v>
      </c>
      <c r="E9" s="11" t="n">
        <v>1</v>
      </c>
    </row>
    <row r="10" customFormat="false" ht="15" hidden="false" customHeight="false" outlineLevel="0" collapsed="false">
      <c r="A10" s="9" t="s">
        <v>73</v>
      </c>
      <c r="B10" s="12" t="n">
        <f aca="false">SUM(B6:B9)</f>
        <v>1.67619047619048</v>
      </c>
      <c r="C10" s="12" t="n">
        <f aca="false">SUM(C6:C9)</f>
        <v>4.53333333333333</v>
      </c>
      <c r="D10" s="12" t="n">
        <f aca="false">SUM(D6:D9)</f>
        <v>9.5</v>
      </c>
      <c r="E10" s="12" t="n">
        <f aca="false">SUM(E6:E9)</f>
        <v>15</v>
      </c>
    </row>
    <row r="11" customFormat="false" ht="17.15" hidden="false" customHeight="false" outlineLevel="0" collapsed="false">
      <c r="A11" s="9" t="s">
        <v>74</v>
      </c>
      <c r="F11" s="9" t="s">
        <v>75</v>
      </c>
      <c r="G11" s="13" t="s">
        <v>76</v>
      </c>
      <c r="H11" s="13" t="s">
        <v>77</v>
      </c>
    </row>
    <row r="12" customFormat="false" ht="15" hidden="false" customHeight="false" outlineLevel="0" collapsed="false">
      <c r="B12" s="12" t="n">
        <f aca="false">B6/B$10</f>
        <v>0.596590909090909</v>
      </c>
      <c r="C12" s="12" t="n">
        <f aca="false">C6/C$10</f>
        <v>0.661764705882353</v>
      </c>
      <c r="D12" s="12" t="n">
        <f aca="false">D6/D$10</f>
        <v>0.526315789473684</v>
      </c>
      <c r="E12" s="12" t="n">
        <f aca="false">E6/E$10</f>
        <v>0.466666666666667</v>
      </c>
      <c r="F12" s="12" t="n">
        <f aca="false">AVERAGE(B12:E12)</f>
        <v>0.562834517778403</v>
      </c>
      <c r="G12" s="12" t="n">
        <f aca="false">SUMPRODUCT(B6:E6,TRANSPOSE($F$12:$F$15))</f>
        <v>2.3386961722488</v>
      </c>
      <c r="H12" s="12" t="n">
        <f aca="false">G12/F12</f>
        <v>4.15521098720101</v>
      </c>
    </row>
    <row r="13" customFormat="false" ht="15" hidden="false" customHeight="false" outlineLevel="0" collapsed="false">
      <c r="B13" s="12" t="n">
        <f aca="false">B7/B$10</f>
        <v>0.198863636363636</v>
      </c>
      <c r="C13" s="12" t="n">
        <f aca="false">C7/C$10</f>
        <v>0.220588235294118</v>
      </c>
      <c r="D13" s="12" t="n">
        <f aca="false">D7/D$10</f>
        <v>0.315789473684211</v>
      </c>
      <c r="E13" s="12" t="n">
        <f aca="false">E7/E$10</f>
        <v>0.333333333333333</v>
      </c>
      <c r="F13" s="12" t="n">
        <f aca="false">AVERAGE(B13:E13)</f>
        <v>0.267143669668824</v>
      </c>
      <c r="G13" s="12" t="n">
        <f aca="false">SUMPRODUCT(B7:E7,TRANSPOSE($F$12:$F$15))</f>
        <v>1.08914219595334</v>
      </c>
      <c r="H13" s="12" t="n">
        <f aca="false">G13/F13</f>
        <v>4.07699047221872</v>
      </c>
    </row>
    <row r="14" customFormat="false" ht="15" hidden="false" customHeight="false" outlineLevel="0" collapsed="false">
      <c r="B14" s="12" t="n">
        <f aca="false">B8/B$10</f>
        <v>0.119318181818182</v>
      </c>
      <c r="C14" s="12" t="n">
        <f aca="false">C8/C$10</f>
        <v>0.0735294117647059</v>
      </c>
      <c r="D14" s="12" t="n">
        <f aca="false">D8/D$10</f>
        <v>0.105263157894737</v>
      </c>
      <c r="E14" s="12" t="n">
        <f aca="false">E8/E$10</f>
        <v>0.133333333333333</v>
      </c>
      <c r="F14" s="12" t="n">
        <f aca="false">AVERAGE(B14:E14)</f>
        <v>0.107861021202739</v>
      </c>
      <c r="G14" s="12" t="n">
        <f aca="false">SUMPRODUCT(B8:E8,TRANSPOSE($F$12:$F$15))</f>
        <v>0.433797397348094</v>
      </c>
      <c r="H14" s="12" t="n">
        <f aca="false">G14/F14</f>
        <v>4.0218180071994</v>
      </c>
    </row>
    <row r="15" customFormat="false" ht="15" hidden="false" customHeight="false" outlineLevel="0" collapsed="false">
      <c r="B15" s="12" t="n">
        <f aca="false">B9/B$10</f>
        <v>0.0852272727272727</v>
      </c>
      <c r="C15" s="12" t="n">
        <f aca="false">C9/C$10</f>
        <v>0.0441176470588235</v>
      </c>
      <c r="D15" s="12" t="n">
        <f aca="false">D9/D$10</f>
        <v>0.0526315789473684</v>
      </c>
      <c r="E15" s="12" t="n">
        <f aca="false">E9/E$10</f>
        <v>0.0666666666666667</v>
      </c>
      <c r="F15" s="12" t="n">
        <f aca="false">AVERAGE(B15:E15)</f>
        <v>0.0621607913500328</v>
      </c>
      <c r="G15" s="12" t="n">
        <f aca="false">SUMPRODUCT(B9:E9,TRANSPOSE($F$12:$F$15))</f>
        <v>0.249924966996368</v>
      </c>
      <c r="H15" s="12" t="n">
        <f aca="false">G15/F15</f>
        <v>4.02062074128076</v>
      </c>
    </row>
    <row r="17" customFormat="false" ht="15" hidden="false" customHeight="false" outlineLevel="0" collapsed="false">
      <c r="A17" s="13" t="s">
        <v>78</v>
      </c>
      <c r="B17" s="12" t="n">
        <f aca="false">AVERAGE(H12:H15)</f>
        <v>4.06866005197497</v>
      </c>
    </row>
    <row r="18" customFormat="false" ht="15" hidden="false" customHeight="false" outlineLevel="0" collapsed="false">
      <c r="A18" s="13" t="s">
        <v>79</v>
      </c>
      <c r="B18" s="12" t="n">
        <f aca="false">(B17-4)/(4-1)</f>
        <v>0.0228866839916577</v>
      </c>
    </row>
    <row r="19" customFormat="false" ht="15" hidden="false" customHeight="false" outlineLevel="0" collapsed="false">
      <c r="A19" s="13" t="s">
        <v>80</v>
      </c>
      <c r="B19" s="12" t="n">
        <v>0.9</v>
      </c>
    </row>
    <row r="20" customFormat="false" ht="15" hidden="false" customHeight="false" outlineLevel="0" collapsed="false">
      <c r="A20" s="13" t="s">
        <v>81</v>
      </c>
      <c r="B20" s="12" t="n">
        <f aca="false">B18/B19</f>
        <v>0.0254296488796197</v>
      </c>
    </row>
    <row r="23" customFormat="false" ht="15" hidden="false" customHeight="false" outlineLevel="0" collapsed="false">
      <c r="A23" s="9" t="s">
        <v>82</v>
      </c>
      <c r="J23" s="9" t="s">
        <v>83</v>
      </c>
    </row>
    <row r="24" customFormat="false" ht="17.15" hidden="false" customHeight="false" outlineLevel="0" collapsed="false">
      <c r="B24" s="16" t="s">
        <v>84</v>
      </c>
      <c r="C24" s="16" t="s">
        <v>85</v>
      </c>
      <c r="D24" s="16" t="s">
        <v>86</v>
      </c>
      <c r="K24" s="16" t="s">
        <v>84</v>
      </c>
      <c r="L24" s="16" t="s">
        <v>85</v>
      </c>
      <c r="M24" s="16" t="s">
        <v>86</v>
      </c>
    </row>
    <row r="25" customFormat="false" ht="15" hidden="false" customHeight="false" outlineLevel="0" collapsed="false">
      <c r="A25" s="17" t="s">
        <v>84</v>
      </c>
      <c r="B25" s="11" t="n">
        <v>1</v>
      </c>
      <c r="C25" s="11" t="n">
        <v>3</v>
      </c>
      <c r="D25" s="11" t="n">
        <v>5</v>
      </c>
      <c r="J25" s="17" t="s">
        <v>84</v>
      </c>
      <c r="K25" s="11" t="n">
        <v>1</v>
      </c>
      <c r="L25" s="11" t="n">
        <f aca="false">1/2</f>
        <v>0.5</v>
      </c>
      <c r="M25" s="11" t="n">
        <v>3</v>
      </c>
    </row>
    <row r="26" customFormat="false" ht="15" hidden="false" customHeight="false" outlineLevel="0" collapsed="false">
      <c r="A26" s="17" t="s">
        <v>85</v>
      </c>
      <c r="B26" s="11" t="n">
        <f aca="false">1/C25</f>
        <v>0.333333333333333</v>
      </c>
      <c r="C26" s="11" t="n">
        <v>1</v>
      </c>
      <c r="D26" s="11" t="n">
        <v>3</v>
      </c>
      <c r="J26" s="17" t="s">
        <v>85</v>
      </c>
      <c r="K26" s="11" t="n">
        <v>2</v>
      </c>
      <c r="L26" s="11" t="n">
        <v>1</v>
      </c>
      <c r="M26" s="11" t="n">
        <v>5</v>
      </c>
    </row>
    <row r="27" customFormat="false" ht="15" hidden="false" customHeight="false" outlineLevel="0" collapsed="false">
      <c r="A27" s="17" t="s">
        <v>86</v>
      </c>
      <c r="B27" s="11" t="n">
        <f aca="false">1/D25</f>
        <v>0.2</v>
      </c>
      <c r="C27" s="11" t="n">
        <f aca="false">1/D26</f>
        <v>0.333333333333333</v>
      </c>
      <c r="D27" s="11" t="n">
        <v>1</v>
      </c>
      <c r="J27" s="17" t="s">
        <v>86</v>
      </c>
      <c r="K27" s="11" t="n">
        <f aca="false">1/3</f>
        <v>0.333333333333333</v>
      </c>
      <c r="L27" s="11" t="n">
        <f aca="false">1/5</f>
        <v>0.2</v>
      </c>
      <c r="M27" s="11" t="n">
        <v>1</v>
      </c>
    </row>
    <row r="28" customFormat="false" ht="15" hidden="false" customHeight="false" outlineLevel="0" collapsed="false">
      <c r="A28" s="9" t="s">
        <v>73</v>
      </c>
      <c r="B28" s="12" t="n">
        <f aca="false">SUM(B25:B27)</f>
        <v>1.53333333333333</v>
      </c>
      <c r="C28" s="12" t="n">
        <f aca="false">SUM(C25:C27)</f>
        <v>4.33333333333333</v>
      </c>
      <c r="D28" s="12" t="n">
        <f aca="false">SUM(D25:D27)</f>
        <v>9</v>
      </c>
      <c r="J28" s="9" t="s">
        <v>73</v>
      </c>
      <c r="K28" s="12" t="n">
        <f aca="false">SUM(K25:K27)</f>
        <v>3.33333333333333</v>
      </c>
      <c r="L28" s="12" t="n">
        <f aca="false">SUM(L25:L27)</f>
        <v>1.7</v>
      </c>
      <c r="M28" s="12" t="n">
        <f aca="false">SUM(M25:M27)</f>
        <v>9</v>
      </c>
    </row>
    <row r="29" customFormat="false" ht="17.15" hidden="false" customHeight="false" outlineLevel="0" collapsed="false">
      <c r="A29" s="9" t="s">
        <v>74</v>
      </c>
      <c r="E29" s="9" t="s">
        <v>75</v>
      </c>
      <c r="F29" s="13" t="s">
        <v>76</v>
      </c>
      <c r="G29" s="13" t="s">
        <v>77</v>
      </c>
      <c r="J29" s="9" t="s">
        <v>74</v>
      </c>
      <c r="N29" s="9" t="s">
        <v>75</v>
      </c>
      <c r="O29" s="13" t="s">
        <v>76</v>
      </c>
      <c r="P29" s="13" t="s">
        <v>77</v>
      </c>
    </row>
    <row r="30" customFormat="false" ht="15" hidden="false" customHeight="false" outlineLevel="0" collapsed="false">
      <c r="B30" s="12" t="n">
        <f aca="false">B25/B$28</f>
        <v>0.652173913043478</v>
      </c>
      <c r="C30" s="12" t="n">
        <f aca="false">C25/C$28</f>
        <v>0.692307692307692</v>
      </c>
      <c r="D30" s="12" t="n">
        <f aca="false">D25/D$28</f>
        <v>0.555555555555556</v>
      </c>
      <c r="E30" s="12" t="n">
        <f aca="false">AVERAGE(B30:D30)</f>
        <v>0.633345720302242</v>
      </c>
      <c r="F30" s="12" t="n">
        <f aca="false">SUMPRODUCT(B25:D25,TRANSPOSE($E$30:$E$32))</f>
        <v>1.94562120649077</v>
      </c>
      <c r="G30" s="12" t="n">
        <f aca="false">F30/E30</f>
        <v>3.07197340113436</v>
      </c>
      <c r="K30" s="12" t="n">
        <f aca="false">K25/K$28</f>
        <v>0.3</v>
      </c>
      <c r="L30" s="12" t="n">
        <f aca="false">L25/L$28</f>
        <v>0.294117647058824</v>
      </c>
      <c r="M30" s="12" t="n">
        <f aca="false">M25/M$28</f>
        <v>0.333333333333333</v>
      </c>
      <c r="N30" s="12" t="n">
        <f aca="false">AVERAGE(K30:M30)</f>
        <v>0.309150326797386</v>
      </c>
      <c r="O30" s="12" t="n">
        <f aca="false">SUMPRODUCT(K25:M25,TRANSPOSE($N$30:$N$32))</f>
        <v>0.928540305010893</v>
      </c>
      <c r="P30" s="12" t="n">
        <f aca="false">O30/N30</f>
        <v>3.00352360817477</v>
      </c>
    </row>
    <row r="31" customFormat="false" ht="15" hidden="false" customHeight="false" outlineLevel="0" collapsed="false">
      <c r="B31" s="12" t="n">
        <f aca="false">B26/B$28</f>
        <v>0.217391304347826</v>
      </c>
      <c r="C31" s="12" t="n">
        <f aca="false">C26/C$28</f>
        <v>0.230769230769231</v>
      </c>
      <c r="D31" s="12" t="n">
        <f aca="false">D26/D$28</f>
        <v>0.333333333333333</v>
      </c>
      <c r="E31" s="12" t="n">
        <f aca="false">AVERAGE(B31:D31)</f>
        <v>0.26049795615013</v>
      </c>
      <c r="F31" s="12" t="n">
        <f aca="false">SUMPRODUCT(B26:D26,TRANSPOSE($E$30:$E$32))</f>
        <v>0.790082166893761</v>
      </c>
      <c r="G31" s="12" t="n">
        <f aca="false">F31/E31</f>
        <v>3.03296877476621</v>
      </c>
      <c r="K31" s="12" t="n">
        <f aca="false">K26/K$28</f>
        <v>0.6</v>
      </c>
      <c r="L31" s="12" t="n">
        <f aca="false">L26/L$28</f>
        <v>0.588235294117647</v>
      </c>
      <c r="M31" s="12" t="n">
        <f aca="false">M26/M$28</f>
        <v>0.555555555555556</v>
      </c>
      <c r="N31" s="12" t="n">
        <f aca="false">AVERAGE(K31:M31)</f>
        <v>0.581263616557734</v>
      </c>
      <c r="O31" s="12" t="n">
        <f aca="false">SUMPRODUCT(K26:M26,TRANSPOSE($N$30:$N$32))</f>
        <v>1.74749455337691</v>
      </c>
      <c r="P31" s="12" t="n">
        <f aca="false">O31/N31</f>
        <v>3.00637181409295</v>
      </c>
    </row>
    <row r="32" customFormat="false" ht="15" hidden="false" customHeight="false" outlineLevel="0" collapsed="false">
      <c r="B32" s="12" t="n">
        <f aca="false">B27/B$28</f>
        <v>0.130434782608696</v>
      </c>
      <c r="C32" s="12" t="n">
        <f aca="false">C27/C$28</f>
        <v>0.0769230769230769</v>
      </c>
      <c r="D32" s="12" t="n">
        <f aca="false">D27/D$28</f>
        <v>0.111111111111111</v>
      </c>
      <c r="E32" s="12" t="n">
        <f aca="false">AVERAGE(B32:D32)</f>
        <v>0.106156323547628</v>
      </c>
      <c r="F32" s="12" t="n">
        <f aca="false">SUMPRODUCT(B27:D27,TRANSPOSE($E$30:$E$32))</f>
        <v>0.31965811965812</v>
      </c>
      <c r="G32" s="12" t="n">
        <f aca="false">F32/E32</f>
        <v>3.01120186697783</v>
      </c>
      <c r="K32" s="12" t="n">
        <f aca="false">K27/K$28</f>
        <v>0.1</v>
      </c>
      <c r="L32" s="12" t="n">
        <f aca="false">L27/L$28</f>
        <v>0.117647058823529</v>
      </c>
      <c r="M32" s="12" t="n">
        <f aca="false">M27/M$28</f>
        <v>0.111111111111111</v>
      </c>
      <c r="N32" s="12" t="n">
        <f aca="false">AVERAGE(K32:M32)</f>
        <v>0.10958605664488</v>
      </c>
      <c r="O32" s="12" t="n">
        <f aca="false">SUMPRODUCT(K27:M27,TRANSPOSE($N$30:$N$32))</f>
        <v>0.328888888888889</v>
      </c>
      <c r="P32" s="12" t="n">
        <f aca="false">O32/N32</f>
        <v>3.00119284294235</v>
      </c>
    </row>
    <row r="34" customFormat="false" ht="15" hidden="false" customHeight="false" outlineLevel="0" collapsed="false">
      <c r="A34" s="13" t="s">
        <v>78</v>
      </c>
      <c r="B34" s="12" t="n">
        <f aca="false">AVERAGE(G30:G32)</f>
        <v>3.03871468095947</v>
      </c>
      <c r="J34" s="13" t="s">
        <v>78</v>
      </c>
      <c r="K34" s="12" t="n">
        <f aca="false">AVERAGE(P30:P32)</f>
        <v>3.00369608840336</v>
      </c>
    </row>
    <row r="35" customFormat="false" ht="15" hidden="false" customHeight="false" outlineLevel="0" collapsed="false">
      <c r="A35" s="13" t="s">
        <v>79</v>
      </c>
      <c r="B35" s="12" t="n">
        <f aca="false">(B34-3)/(3-1)</f>
        <v>0.0193573404797334</v>
      </c>
      <c r="J35" s="13" t="s">
        <v>79</v>
      </c>
      <c r="K35" s="12" t="n">
        <f aca="false">(K34-3)/(3-1)</f>
        <v>0.00184804420167839</v>
      </c>
    </row>
    <row r="36" customFormat="false" ht="15" hidden="false" customHeight="false" outlineLevel="0" collapsed="false">
      <c r="A36" s="13" t="s">
        <v>87</v>
      </c>
      <c r="B36" s="12" t="n">
        <v>0.58</v>
      </c>
      <c r="J36" s="13" t="s">
        <v>87</v>
      </c>
      <c r="K36" s="12" t="n">
        <v>0.58</v>
      </c>
    </row>
    <row r="37" customFormat="false" ht="15" hidden="false" customHeight="false" outlineLevel="0" collapsed="false">
      <c r="A37" s="13" t="s">
        <v>81</v>
      </c>
      <c r="B37" s="12" t="n">
        <f aca="false">B35/B36</f>
        <v>0.0333747249650575</v>
      </c>
      <c r="J37" s="13" t="s">
        <v>81</v>
      </c>
      <c r="K37" s="12" t="n">
        <f aca="false">K35/K36</f>
        <v>0.00318628310634205</v>
      </c>
    </row>
    <row r="39" customFormat="false" ht="15" hidden="false" customHeight="false" outlineLevel="0" collapsed="false">
      <c r="A39" s="9" t="s">
        <v>88</v>
      </c>
      <c r="J39" s="9" t="s">
        <v>89</v>
      </c>
    </row>
    <row r="40" customFormat="false" ht="17.15" hidden="false" customHeight="false" outlineLevel="0" collapsed="false">
      <c r="B40" s="16" t="s">
        <v>84</v>
      </c>
      <c r="C40" s="16" t="s">
        <v>85</v>
      </c>
      <c r="D40" s="16" t="s">
        <v>86</v>
      </c>
      <c r="K40" s="16" t="s">
        <v>84</v>
      </c>
      <c r="L40" s="16" t="s">
        <v>85</v>
      </c>
      <c r="M40" s="16" t="s">
        <v>86</v>
      </c>
    </row>
    <row r="41" customFormat="false" ht="15" hidden="false" customHeight="false" outlineLevel="0" collapsed="false">
      <c r="A41" s="17" t="s">
        <v>84</v>
      </c>
      <c r="B41" s="11" t="n">
        <v>1</v>
      </c>
      <c r="C41" s="11" t="n">
        <f aca="false">1/3</f>
        <v>0.333333333333333</v>
      </c>
      <c r="D41" s="11" t="n">
        <f aca="false">1/5</f>
        <v>0.2</v>
      </c>
      <c r="J41" s="17" t="s">
        <v>84</v>
      </c>
      <c r="K41" s="11" t="n">
        <v>1</v>
      </c>
      <c r="L41" s="11" t="n">
        <v>2</v>
      </c>
      <c r="M41" s="11" t="n">
        <v>4</v>
      </c>
    </row>
    <row r="42" customFormat="false" ht="15" hidden="false" customHeight="false" outlineLevel="0" collapsed="false">
      <c r="A42" s="17" t="s">
        <v>85</v>
      </c>
      <c r="B42" s="11" t="n">
        <v>3</v>
      </c>
      <c r="C42" s="11" t="n">
        <v>1</v>
      </c>
      <c r="D42" s="11" t="n">
        <f aca="false">1/3</f>
        <v>0.333333333333333</v>
      </c>
      <c r="J42" s="17" t="s">
        <v>85</v>
      </c>
      <c r="K42" s="11" t="n">
        <f aca="false">1/2</f>
        <v>0.5</v>
      </c>
      <c r="L42" s="11" t="n">
        <v>1</v>
      </c>
      <c r="M42" s="11" t="n">
        <v>3</v>
      </c>
    </row>
    <row r="43" customFormat="false" ht="15" hidden="false" customHeight="false" outlineLevel="0" collapsed="false">
      <c r="A43" s="17" t="s">
        <v>86</v>
      </c>
      <c r="B43" s="11" t="n">
        <v>5</v>
      </c>
      <c r="C43" s="11" t="n">
        <v>3</v>
      </c>
      <c r="D43" s="11" t="n">
        <v>1</v>
      </c>
      <c r="J43" s="17" t="s">
        <v>86</v>
      </c>
      <c r="K43" s="11" t="n">
        <f aca="false">1/4</f>
        <v>0.25</v>
      </c>
      <c r="L43" s="11" t="n">
        <f aca="false">1/3</f>
        <v>0.333333333333333</v>
      </c>
      <c r="M43" s="11" t="n">
        <v>1</v>
      </c>
    </row>
    <row r="44" customFormat="false" ht="15" hidden="false" customHeight="false" outlineLevel="0" collapsed="false">
      <c r="A44" s="9" t="s">
        <v>73</v>
      </c>
      <c r="B44" s="12" t="n">
        <f aca="false">SUM(B41:B43)</f>
        <v>9</v>
      </c>
      <c r="C44" s="12" t="n">
        <f aca="false">SUM(C41:C43)</f>
        <v>4.33333333333333</v>
      </c>
      <c r="D44" s="12" t="n">
        <f aca="false">SUM(D41:D43)</f>
        <v>1.53333333333333</v>
      </c>
      <c r="J44" s="9" t="s">
        <v>73</v>
      </c>
      <c r="K44" s="12" t="n">
        <f aca="false">SUM(K41:K43)</f>
        <v>1.75</v>
      </c>
      <c r="L44" s="12" t="n">
        <f aca="false">SUM(L41:L43)</f>
        <v>3.33333333333333</v>
      </c>
      <c r="M44" s="12" t="n">
        <f aca="false">SUM(M41:M43)</f>
        <v>8</v>
      </c>
    </row>
    <row r="45" customFormat="false" ht="17.15" hidden="false" customHeight="false" outlineLevel="0" collapsed="false">
      <c r="A45" s="9" t="s">
        <v>74</v>
      </c>
      <c r="E45" s="9" t="s">
        <v>75</v>
      </c>
      <c r="F45" s="13" t="s">
        <v>76</v>
      </c>
      <c r="G45" s="13" t="s">
        <v>77</v>
      </c>
      <c r="J45" s="9" t="s">
        <v>74</v>
      </c>
      <c r="N45" s="9" t="s">
        <v>75</v>
      </c>
      <c r="O45" s="13" t="s">
        <v>76</v>
      </c>
      <c r="P45" s="13" t="s">
        <v>77</v>
      </c>
    </row>
    <row r="46" customFormat="false" ht="15" hidden="false" customHeight="false" outlineLevel="0" collapsed="false">
      <c r="B46" s="12" t="n">
        <f aca="false">B41/B$44</f>
        <v>0.111111111111111</v>
      </c>
      <c r="C46" s="12" t="n">
        <f aca="false">C41/C$44</f>
        <v>0.0769230769230769</v>
      </c>
      <c r="D46" s="12" t="n">
        <f aca="false">D41/D$44</f>
        <v>0.130434782608696</v>
      </c>
      <c r="E46" s="12" t="n">
        <f aca="false">AVERAGE(B46:D46)</f>
        <v>0.106156323547628</v>
      </c>
      <c r="F46" s="12" t="n">
        <f aca="false">SUMPRODUCT(B41:D41,TRANSPOSE($E$46:$E$48))</f>
        <v>0.31965811965812</v>
      </c>
      <c r="G46" s="12" t="n">
        <f aca="false">F46/E46</f>
        <v>3.01120186697783</v>
      </c>
      <c r="K46" s="12" t="n">
        <f aca="false">K41/K$44</f>
        <v>0.571428571428571</v>
      </c>
      <c r="L46" s="12" t="n">
        <f aca="false">L41/L$44</f>
        <v>0.6</v>
      </c>
      <c r="M46" s="12" t="n">
        <f aca="false">M41/M$44</f>
        <v>0.5</v>
      </c>
      <c r="N46" s="12" t="n">
        <f aca="false">AVERAGE(K46:M46)</f>
        <v>0.557142857142857</v>
      </c>
      <c r="O46" s="12" t="n">
        <f aca="false">SUMPRODUCT(K41:M41,TRANSPOSE($N$46:$N$48))</f>
        <v>1.68809523809524</v>
      </c>
      <c r="P46" s="12" t="n">
        <f aca="false">O46/N46</f>
        <v>3.02991452991453</v>
      </c>
    </row>
    <row r="47" customFormat="false" ht="15" hidden="false" customHeight="false" outlineLevel="0" collapsed="false">
      <c r="B47" s="12" t="n">
        <f aca="false">B42/B$44</f>
        <v>0.333333333333333</v>
      </c>
      <c r="C47" s="12" t="n">
        <f aca="false">C42/C$44</f>
        <v>0.230769230769231</v>
      </c>
      <c r="D47" s="12" t="n">
        <f aca="false">D42/D$44</f>
        <v>0.217391304347826</v>
      </c>
      <c r="E47" s="12" t="n">
        <f aca="false">AVERAGE(B47:D47)</f>
        <v>0.26049795615013</v>
      </c>
      <c r="F47" s="12" t="n">
        <f aca="false">SUMPRODUCT(B42:D42,TRANSPOSE($E$46:$E$48))</f>
        <v>0.790082166893761</v>
      </c>
      <c r="G47" s="12" t="n">
        <f aca="false">F47/E47</f>
        <v>3.03296877476621</v>
      </c>
      <c r="K47" s="12" t="n">
        <f aca="false">K42/K$44</f>
        <v>0.285714285714286</v>
      </c>
      <c r="L47" s="12" t="n">
        <f aca="false">L42/L$44</f>
        <v>0.3</v>
      </c>
      <c r="M47" s="12" t="n">
        <f aca="false">M42/M$44</f>
        <v>0.375</v>
      </c>
      <c r="N47" s="12" t="n">
        <f aca="false">AVERAGE(K47:M47)</f>
        <v>0.320238095238095</v>
      </c>
      <c r="O47" s="12" t="n">
        <f aca="false">SUMPRODUCT(K42:M42,TRANSPOSE($N$46:$N$48))</f>
        <v>0.966666666666667</v>
      </c>
      <c r="P47" s="12" t="n">
        <f aca="false">O47/N47</f>
        <v>3.0185873605948</v>
      </c>
    </row>
    <row r="48" customFormat="false" ht="15" hidden="false" customHeight="false" outlineLevel="0" collapsed="false">
      <c r="B48" s="12" t="n">
        <f aca="false">B43/B$44</f>
        <v>0.555555555555556</v>
      </c>
      <c r="C48" s="12" t="n">
        <f aca="false">C43/C$44</f>
        <v>0.692307692307692</v>
      </c>
      <c r="D48" s="12" t="n">
        <f aca="false">D43/D$44</f>
        <v>0.652173913043478</v>
      </c>
      <c r="E48" s="12" t="n">
        <f aca="false">AVERAGE(B48:D48)</f>
        <v>0.633345720302242</v>
      </c>
      <c r="F48" s="12" t="n">
        <f aca="false">SUMPRODUCT(B43:D43,TRANSPOSE($E$46:$E$48))</f>
        <v>1.94562120649077</v>
      </c>
      <c r="G48" s="12" t="n">
        <f aca="false">F48/E48</f>
        <v>3.07197340113436</v>
      </c>
      <c r="K48" s="12" t="n">
        <f aca="false">K43/K$44</f>
        <v>0.142857142857143</v>
      </c>
      <c r="L48" s="12" t="n">
        <f aca="false">L43/L$44</f>
        <v>0.1</v>
      </c>
      <c r="M48" s="12" t="n">
        <f aca="false">M43/M$44</f>
        <v>0.125</v>
      </c>
      <c r="N48" s="12" t="n">
        <f aca="false">AVERAGE(K48:M48)</f>
        <v>0.122619047619048</v>
      </c>
      <c r="O48" s="12" t="n">
        <f aca="false">SUMPRODUCT(K43:M43,TRANSPOSE($N$46:$N$48))</f>
        <v>0.368650793650794</v>
      </c>
      <c r="P48" s="12" t="n">
        <f aca="false">O48/N48</f>
        <v>3.00647249190939</v>
      </c>
    </row>
    <row r="50" customFormat="false" ht="15" hidden="false" customHeight="false" outlineLevel="0" collapsed="false">
      <c r="A50" s="13" t="s">
        <v>78</v>
      </c>
      <c r="B50" s="12" t="n">
        <f aca="false">AVERAGE(G46:G48)</f>
        <v>3.03871468095947</v>
      </c>
      <c r="J50" s="13" t="s">
        <v>78</v>
      </c>
      <c r="K50" s="12" t="n">
        <f aca="false">AVERAGE(P46:P48)</f>
        <v>3.01832479413957</v>
      </c>
    </row>
    <row r="51" customFormat="false" ht="15" hidden="false" customHeight="false" outlineLevel="0" collapsed="false">
      <c r="A51" s="13" t="s">
        <v>79</v>
      </c>
      <c r="B51" s="12" t="n">
        <f aca="false">(B50-3)/(3-1)</f>
        <v>0.0193573404797334</v>
      </c>
      <c r="J51" s="13" t="s">
        <v>79</v>
      </c>
      <c r="K51" s="12" t="n">
        <f aca="false">(K50-3)/(3-1)</f>
        <v>0.00916239706978494</v>
      </c>
    </row>
    <row r="52" customFormat="false" ht="15" hidden="false" customHeight="false" outlineLevel="0" collapsed="false">
      <c r="A52" s="13" t="s">
        <v>87</v>
      </c>
      <c r="B52" s="12" t="n">
        <v>0.58</v>
      </c>
      <c r="J52" s="13" t="s">
        <v>87</v>
      </c>
      <c r="K52" s="12" t="n">
        <v>0.58</v>
      </c>
    </row>
    <row r="53" customFormat="false" ht="15" hidden="false" customHeight="false" outlineLevel="0" collapsed="false">
      <c r="A53" s="13" t="s">
        <v>81</v>
      </c>
      <c r="B53" s="12" t="n">
        <f aca="false">B51/B52</f>
        <v>0.0333747249650575</v>
      </c>
      <c r="J53" s="13" t="s">
        <v>81</v>
      </c>
      <c r="K53" s="12" t="n">
        <f aca="false">K51/K52</f>
        <v>0.0157972363272154</v>
      </c>
    </row>
    <row r="56" customFormat="false" ht="15" hidden="false" customHeight="false" outlineLevel="0" collapsed="false">
      <c r="A56" s="9" t="s">
        <v>90</v>
      </c>
    </row>
    <row r="57" customFormat="false" ht="29.85" hidden="false" customHeight="false" outlineLevel="0" collapsed="false">
      <c r="A57" s="3" t="s">
        <v>55</v>
      </c>
      <c r="B57" s="3" t="s">
        <v>91</v>
      </c>
      <c r="C57" s="3" t="s">
        <v>92</v>
      </c>
      <c r="D57" s="3" t="s">
        <v>93</v>
      </c>
      <c r="E57" s="3" t="s">
        <v>94</v>
      </c>
      <c r="F57" s="3" t="s">
        <v>95</v>
      </c>
    </row>
    <row r="58" customFormat="false" ht="15" hidden="false" customHeight="false" outlineLevel="0" collapsed="false">
      <c r="A58" s="18" t="s">
        <v>84</v>
      </c>
      <c r="B58" s="12" t="n">
        <f aca="false">E30</f>
        <v>0.633345720302242</v>
      </c>
      <c r="C58" s="12" t="n">
        <f aca="false">N30</f>
        <v>0.309150326797386</v>
      </c>
      <c r="D58" s="12" t="n">
        <f aca="false">E46</f>
        <v>0.106156323547628</v>
      </c>
      <c r="E58" s="12" t="n">
        <f aca="false">N46</f>
        <v>0.557142857142857</v>
      </c>
      <c r="F58" s="12" t="n">
        <f aca="false">$F$12*B58+$F$13*C58+$F$14*D58+$F$15*E58</f>
        <v>0.485138956213292</v>
      </c>
    </row>
    <row r="59" customFormat="false" ht="15" hidden="false" customHeight="false" outlineLevel="0" collapsed="false">
      <c r="A59" s="18" t="s">
        <v>85</v>
      </c>
      <c r="B59" s="12" t="n">
        <f aca="false">E31</f>
        <v>0.26049795615013</v>
      </c>
      <c r="C59" s="12" t="n">
        <f aca="false">N31</f>
        <v>0.581263616557734</v>
      </c>
      <c r="D59" s="12" t="n">
        <f aca="false">E47</f>
        <v>0.26049795615013</v>
      </c>
      <c r="E59" s="12" t="n">
        <f aca="false">N47</f>
        <v>0.320238095238095</v>
      </c>
      <c r="F59" s="12" t="n">
        <f aca="false">$F$12*B59+$F$13*C59+$F$14*D59+$F$15*E59</f>
        <v>0.34990196609623</v>
      </c>
    </row>
    <row r="60" customFormat="false" ht="15" hidden="false" customHeight="false" outlineLevel="0" collapsed="false">
      <c r="A60" s="18" t="s">
        <v>86</v>
      </c>
      <c r="B60" s="12" t="n">
        <f aca="false">E32</f>
        <v>0.106156323547628</v>
      </c>
      <c r="C60" s="12" t="n">
        <f aca="false">N32</f>
        <v>0.10958605664488</v>
      </c>
      <c r="D60" s="12" t="n">
        <f aca="false">E48</f>
        <v>0.633345720302242</v>
      </c>
      <c r="E60" s="12" t="n">
        <f aca="false">N48</f>
        <v>0.122619047619048</v>
      </c>
      <c r="F60" s="12" t="n">
        <f aca="false">$F$12*B60+$F$13*C60+$F$14*D60+$F$15*E60</f>
        <v>0.164959077690478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20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7.15" hidden="false" customHeight="false" outlineLevel="0" collapsed="false">
      <c r="A4" s="3" t="s">
        <v>98</v>
      </c>
      <c r="B4" s="8" t="s">
        <v>23</v>
      </c>
      <c r="C4" s="8" t="s">
        <v>24</v>
      </c>
      <c r="D4" s="3" t="s">
        <v>25</v>
      </c>
      <c r="F4" s="3" t="s">
        <v>99</v>
      </c>
      <c r="G4" s="3" t="s">
        <v>100</v>
      </c>
      <c r="I4" s="9" t="s">
        <v>28</v>
      </c>
    </row>
    <row r="5" customFormat="false" ht="15" hidden="false" customHeight="false" outlineLevel="0" collapsed="false">
      <c r="A5" s="10" t="s">
        <v>101</v>
      </c>
      <c r="B5" s="11" t="n">
        <v>20</v>
      </c>
      <c r="C5" s="11" t="n">
        <v>50</v>
      </c>
      <c r="D5" s="11" t="n">
        <v>400</v>
      </c>
      <c r="F5" s="12" t="n">
        <f aca="false">B5*D5</f>
        <v>8000</v>
      </c>
      <c r="G5" s="12" t="n">
        <f aca="false">C5*D5</f>
        <v>20000</v>
      </c>
      <c r="I5" s="12" t="n">
        <f aca="false">SUM(D5:D9)</f>
        <v>2000</v>
      </c>
    </row>
    <row r="6" customFormat="false" ht="15" hidden="false" customHeight="false" outlineLevel="0" collapsed="false">
      <c r="A6" s="10" t="s">
        <v>102</v>
      </c>
      <c r="B6" s="11" t="n">
        <v>70</v>
      </c>
      <c r="C6" s="11" t="n">
        <v>90</v>
      </c>
      <c r="D6" s="11" t="n">
        <v>600</v>
      </c>
      <c r="F6" s="12" t="n">
        <f aca="false">B6*D6</f>
        <v>42000</v>
      </c>
      <c r="G6" s="12" t="n">
        <f aca="false">C6*D6</f>
        <v>54000</v>
      </c>
      <c r="I6" s="13" t="s">
        <v>103</v>
      </c>
    </row>
    <row r="7" customFormat="false" ht="15" hidden="false" customHeight="false" outlineLevel="0" collapsed="false">
      <c r="A7" s="10" t="s">
        <v>104</v>
      </c>
      <c r="B7" s="11" t="n">
        <v>100</v>
      </c>
      <c r="C7" s="11" t="n">
        <v>30</v>
      </c>
      <c r="D7" s="11" t="n">
        <v>300</v>
      </c>
      <c r="F7" s="12" t="n">
        <f aca="false">B7*D7</f>
        <v>30000</v>
      </c>
      <c r="G7" s="12" t="n">
        <f aca="false">C7*D7</f>
        <v>9000</v>
      </c>
      <c r="I7" s="12" t="n">
        <f aca="false">SUM(F5:F9)/I5</f>
        <v>62</v>
      </c>
    </row>
    <row r="8" customFormat="false" ht="15" hidden="false" customHeight="false" outlineLevel="0" collapsed="false">
      <c r="A8" s="10" t="s">
        <v>105</v>
      </c>
      <c r="B8" s="11" t="n">
        <v>40</v>
      </c>
      <c r="C8" s="11" t="n">
        <v>10</v>
      </c>
      <c r="D8" s="11" t="n">
        <v>500</v>
      </c>
      <c r="F8" s="12" t="n">
        <f aca="false">B8*D8</f>
        <v>20000</v>
      </c>
      <c r="G8" s="12" t="n">
        <f aca="false">C8*D8</f>
        <v>5000</v>
      </c>
      <c r="I8" s="13" t="s">
        <v>106</v>
      </c>
    </row>
    <row r="9" customFormat="false" ht="15" hidden="false" customHeight="false" outlineLevel="0" collapsed="false">
      <c r="A9" s="10" t="s">
        <v>107</v>
      </c>
      <c r="B9" s="11" t="n">
        <v>120</v>
      </c>
      <c r="C9" s="11" t="n">
        <v>80</v>
      </c>
      <c r="D9" s="11" t="n">
        <v>200</v>
      </c>
      <c r="F9" s="12" t="n">
        <f aca="false">B9*D9</f>
        <v>24000</v>
      </c>
      <c r="G9" s="12" t="n">
        <f aca="false">C9*D9</f>
        <v>16000</v>
      </c>
      <c r="I9" s="12" t="n">
        <f aca="false">SUM(G5:G9)/I5</f>
        <v>52</v>
      </c>
    </row>
    <row r="10" customFormat="false" ht="17.15" hidden="false" customHeight="false" outlineLevel="0" collapsed="false">
      <c r="F10" s="14" t="s">
        <v>108</v>
      </c>
      <c r="I10" s="14" t="s">
        <v>109</v>
      </c>
    </row>
    <row r="11" customFormat="false" ht="17.15" hidden="false" customHeight="false" outlineLevel="0" collapsed="false">
      <c r="F11" s="3" t="s">
        <v>41</v>
      </c>
      <c r="G11" s="3" t="s">
        <v>42</v>
      </c>
      <c r="I11" s="3" t="s">
        <v>41</v>
      </c>
      <c r="J11" s="3" t="s">
        <v>42</v>
      </c>
    </row>
    <row r="12" customFormat="false" ht="15" hidden="false" customHeight="false" outlineLevel="0" collapsed="false">
      <c r="F12" s="12" t="n">
        <f aca="false">SQRT((60-B5)^2+(50-C5)^2)</f>
        <v>40</v>
      </c>
      <c r="G12" s="12" t="n">
        <f aca="false">F12*D5</f>
        <v>16000</v>
      </c>
      <c r="I12" s="12" t="n">
        <f aca="false">SQRT((80-B5)^2+(60-C5)^2)</f>
        <v>60.8276253029822</v>
      </c>
      <c r="J12" s="12" t="n">
        <f aca="false">I12*D5</f>
        <v>24331.0501211929</v>
      </c>
    </row>
    <row r="13" customFormat="false" ht="15" hidden="false" customHeight="false" outlineLevel="0" collapsed="false">
      <c r="F13" s="12" t="n">
        <f aca="false">SQRT((60-B6)^2+(50-C6)^2)</f>
        <v>41.2310562561766</v>
      </c>
      <c r="G13" s="12" t="n">
        <f aca="false">F13*D6</f>
        <v>24738.633753706</v>
      </c>
      <c r="I13" s="12" t="n">
        <f aca="false">SQRT((80-B6)^2+(60-C6)^2)</f>
        <v>31.6227766016838</v>
      </c>
      <c r="J13" s="12" t="n">
        <f aca="false">I13*D6</f>
        <v>18973.6659610103</v>
      </c>
    </row>
    <row r="14" customFormat="false" ht="15" hidden="false" customHeight="false" outlineLevel="0" collapsed="false">
      <c r="F14" s="12" t="n">
        <f aca="false">SQRT((60-B7)^2+(50-C7)^2)</f>
        <v>44.7213595499958</v>
      </c>
      <c r="G14" s="12" t="n">
        <f aca="false">F14*D7</f>
        <v>13416.4078649987</v>
      </c>
      <c r="I14" s="12" t="n">
        <f aca="false">SQRT((80-B7)^2+(60-C7)^2)</f>
        <v>36.0555127546399</v>
      </c>
      <c r="J14" s="12" t="n">
        <f aca="false">I14*D7</f>
        <v>10816.653826392</v>
      </c>
    </row>
    <row r="15" customFormat="false" ht="15" hidden="false" customHeight="false" outlineLevel="0" collapsed="false">
      <c r="F15" s="12" t="n">
        <f aca="false">SQRT((60-B8)^2+(50-C8)^2)</f>
        <v>44.7213595499958</v>
      </c>
      <c r="G15" s="12" t="n">
        <f aca="false">F15*D8</f>
        <v>22360.6797749979</v>
      </c>
      <c r="I15" s="12" t="n">
        <f aca="false">SQRT((80-B8)^2+(60-C8)^2)</f>
        <v>64.0312423743285</v>
      </c>
      <c r="J15" s="12" t="n">
        <f aca="false">I15*D8</f>
        <v>32015.6211871642</v>
      </c>
    </row>
    <row r="16" customFormat="false" ht="15" hidden="false" customHeight="false" outlineLevel="0" collapsed="false">
      <c r="F16" s="12" t="n">
        <f aca="false">SQRT((60-B9)^2+(50-C9)^2)</f>
        <v>67.0820393249937</v>
      </c>
      <c r="G16" s="12" t="n">
        <f aca="false">F16*D9</f>
        <v>13416.4078649987</v>
      </c>
      <c r="I16" s="12" t="n">
        <f aca="false">SQRT((80-B9)^2+(60-C9)^2)</f>
        <v>44.7213595499958</v>
      </c>
      <c r="J16" s="12" t="n">
        <f aca="false">I16*D9</f>
        <v>8944.27190999916</v>
      </c>
    </row>
    <row r="17" customFormat="false" ht="15" hidden="false" customHeight="false" outlineLevel="0" collapsed="false">
      <c r="A17" s="13" t="s">
        <v>110</v>
      </c>
      <c r="B17" s="12" t="n">
        <f aca="false">SUM(G12:G16)</f>
        <v>89932.1292587013</v>
      </c>
    </row>
    <row r="18" customFormat="false" ht="15" hidden="false" customHeight="false" outlineLevel="0" collapsed="false">
      <c r="A18" s="13" t="s">
        <v>111</v>
      </c>
      <c r="B18" s="12" t="n">
        <f aca="false">SUM(J12:J16)</f>
        <v>95081.2630057585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9" t="s">
        <v>68</v>
      </c>
    </row>
    <row r="5" customFormat="false" ht="17.15" hidden="false" customHeight="false" outlineLevel="0" collapsed="false">
      <c r="B5" s="16" t="s">
        <v>114</v>
      </c>
      <c r="C5" s="16" t="s">
        <v>115</v>
      </c>
      <c r="D5" s="16" t="s">
        <v>116</v>
      </c>
    </row>
    <row r="6" customFormat="false" ht="15" hidden="false" customHeight="false" outlineLevel="0" collapsed="false">
      <c r="A6" s="17" t="s">
        <v>114</v>
      </c>
      <c r="B6" s="11" t="n">
        <v>1</v>
      </c>
      <c r="C6" s="11" t="n">
        <v>2</v>
      </c>
      <c r="D6" s="11" t="n">
        <v>4</v>
      </c>
    </row>
    <row r="7" customFormat="false" ht="15" hidden="false" customHeight="false" outlineLevel="0" collapsed="false">
      <c r="A7" s="17" t="s">
        <v>115</v>
      </c>
      <c r="B7" s="11" t="n">
        <f aca="false">1/C6</f>
        <v>0.5</v>
      </c>
      <c r="C7" s="11" t="n">
        <v>1</v>
      </c>
      <c r="D7" s="11" t="n">
        <v>3</v>
      </c>
    </row>
    <row r="8" customFormat="false" ht="15" hidden="false" customHeight="false" outlineLevel="0" collapsed="false">
      <c r="A8" s="17" t="s">
        <v>116</v>
      </c>
      <c r="B8" s="11" t="n">
        <f aca="false">1/D6</f>
        <v>0.25</v>
      </c>
      <c r="C8" s="11" t="n">
        <f aca="false">1/D7</f>
        <v>0.333333333333333</v>
      </c>
      <c r="D8" s="11" t="n">
        <v>1</v>
      </c>
    </row>
    <row r="9" customFormat="false" ht="15" hidden="false" customHeight="false" outlineLevel="0" collapsed="false">
      <c r="A9" s="9" t="s">
        <v>73</v>
      </c>
      <c r="B9" s="12" t="n">
        <f aca="false">SUM(B6:B8)</f>
        <v>1.75</v>
      </c>
      <c r="C9" s="12" t="n">
        <f aca="false">SUM(C6:C8)</f>
        <v>3.33333333333333</v>
      </c>
      <c r="D9" s="12" t="n">
        <f aca="false">SUM(D6:D8)</f>
        <v>8</v>
      </c>
    </row>
    <row r="10" customFormat="false" ht="17.15" hidden="false" customHeight="false" outlineLevel="0" collapsed="false">
      <c r="A10" s="9" t="s">
        <v>74</v>
      </c>
      <c r="E10" s="9" t="s">
        <v>75</v>
      </c>
      <c r="F10" s="13" t="s">
        <v>76</v>
      </c>
      <c r="G10" s="13" t="s">
        <v>77</v>
      </c>
    </row>
    <row r="11" customFormat="false" ht="15" hidden="false" customHeight="false" outlineLevel="0" collapsed="false">
      <c r="B11" s="12" t="n">
        <f aca="false">B6/B$9</f>
        <v>0.571428571428571</v>
      </c>
      <c r="C11" s="12" t="n">
        <f aca="false">C6/C$9</f>
        <v>0.6</v>
      </c>
      <c r="D11" s="12" t="n">
        <f aca="false">D6/D$9</f>
        <v>0.5</v>
      </c>
      <c r="E11" s="12" t="n">
        <f aca="false">AVERAGE(B11:D11)</f>
        <v>0.557142857142857</v>
      </c>
      <c r="F11" s="12" t="n">
        <f aca="false">SUMPRODUCT(B6:D6,TRANSPOSE($E$11:$E$13))</f>
        <v>1.68809523809524</v>
      </c>
      <c r="G11" s="12" t="n">
        <f aca="false">F11/E11</f>
        <v>3.02991452991453</v>
      </c>
    </row>
    <row r="12" customFormat="false" ht="15" hidden="false" customHeight="false" outlineLevel="0" collapsed="false">
      <c r="B12" s="12" t="n">
        <f aca="false">B7/B$9</f>
        <v>0.285714285714286</v>
      </c>
      <c r="C12" s="12" t="n">
        <f aca="false">C7/C$9</f>
        <v>0.3</v>
      </c>
      <c r="D12" s="12" t="n">
        <f aca="false">D7/D$9</f>
        <v>0.375</v>
      </c>
      <c r="E12" s="12" t="n">
        <f aca="false">AVERAGE(B12:D12)</f>
        <v>0.320238095238095</v>
      </c>
      <c r="F12" s="12" t="n">
        <f aca="false">SUMPRODUCT(B7:D7,TRANSPOSE($E$11:$E$13))</f>
        <v>0.966666666666667</v>
      </c>
      <c r="G12" s="12" t="n">
        <f aca="false">F12/E12</f>
        <v>3.0185873605948</v>
      </c>
    </row>
    <row r="13" customFormat="false" ht="15" hidden="false" customHeight="false" outlineLevel="0" collapsed="false">
      <c r="B13" s="12" t="n">
        <f aca="false">B8/B$9</f>
        <v>0.142857142857143</v>
      </c>
      <c r="C13" s="12" t="n">
        <f aca="false">C8/C$9</f>
        <v>0.1</v>
      </c>
      <c r="D13" s="12" t="n">
        <f aca="false">D8/D$9</f>
        <v>0.125</v>
      </c>
      <c r="E13" s="12" t="n">
        <f aca="false">AVERAGE(B13:D13)</f>
        <v>0.122619047619048</v>
      </c>
      <c r="F13" s="12" t="n">
        <f aca="false">SUMPRODUCT(B8:D8,TRANSPOSE($E$11:$E$13))</f>
        <v>0.368650793650794</v>
      </c>
      <c r="G13" s="12" t="n">
        <f aca="false">F13/E13</f>
        <v>3.00647249190939</v>
      </c>
    </row>
    <row r="15" customFormat="false" ht="15" hidden="false" customHeight="false" outlineLevel="0" collapsed="false">
      <c r="A15" s="13" t="s">
        <v>78</v>
      </c>
      <c r="B15" s="12" t="n">
        <f aca="false">AVERAGE(G11:G13)</f>
        <v>3.01832479413957</v>
      </c>
    </row>
    <row r="16" customFormat="false" ht="15" hidden="false" customHeight="false" outlineLevel="0" collapsed="false">
      <c r="A16" s="13" t="s">
        <v>79</v>
      </c>
      <c r="B16" s="12" t="n">
        <f aca="false">(B15-3)/(3-1)</f>
        <v>0.00916239706978494</v>
      </c>
    </row>
    <row r="17" customFormat="false" ht="15" hidden="false" customHeight="false" outlineLevel="0" collapsed="false">
      <c r="A17" s="13" t="s">
        <v>87</v>
      </c>
      <c r="B17" s="12" t="n">
        <v>0.58</v>
      </c>
    </row>
    <row r="18" customFormat="false" ht="15" hidden="false" customHeight="false" outlineLevel="0" collapsed="false">
      <c r="A18" s="13" t="s">
        <v>81</v>
      </c>
      <c r="B18" s="12" t="n">
        <f aca="false">B16/B17</f>
        <v>0.0157972363272154</v>
      </c>
    </row>
    <row r="19" customFormat="false" ht="15" hidden="false" customHeight="false" outlineLevel="0" collapsed="false">
      <c r="A19" s="9" t="s">
        <v>117</v>
      </c>
      <c r="J19" s="9" t="s">
        <v>118</v>
      </c>
    </row>
    <row r="20" customFormat="false" ht="17.15" hidden="false" customHeight="false" outlineLevel="0" collapsed="false">
      <c r="B20" s="16" t="s">
        <v>84</v>
      </c>
      <c r="C20" s="16" t="s">
        <v>85</v>
      </c>
      <c r="D20" s="16" t="s">
        <v>86</v>
      </c>
      <c r="K20" s="16" t="s">
        <v>84</v>
      </c>
      <c r="L20" s="16" t="s">
        <v>85</v>
      </c>
      <c r="M20" s="16" t="s">
        <v>86</v>
      </c>
    </row>
    <row r="21" customFormat="false" ht="15" hidden="false" customHeight="false" outlineLevel="0" collapsed="false">
      <c r="A21" s="17" t="s">
        <v>84</v>
      </c>
      <c r="B21" s="11" t="n">
        <v>1</v>
      </c>
      <c r="C21" s="11" t="n">
        <f aca="false">1/3</f>
        <v>0.333333333333333</v>
      </c>
      <c r="D21" s="11" t="n">
        <f aca="false">1/2</f>
        <v>0.5</v>
      </c>
      <c r="J21" s="17" t="s">
        <v>84</v>
      </c>
      <c r="K21" s="11" t="n">
        <v>1</v>
      </c>
      <c r="L21" s="11" t="n">
        <v>3</v>
      </c>
      <c r="M21" s="11" t="n">
        <f aca="false">1/2</f>
        <v>0.5</v>
      </c>
    </row>
    <row r="22" customFormat="false" ht="15" hidden="false" customHeight="false" outlineLevel="0" collapsed="false">
      <c r="A22" s="17" t="s">
        <v>85</v>
      </c>
      <c r="B22" s="11" t="n">
        <v>3</v>
      </c>
      <c r="C22" s="11" t="n">
        <v>1</v>
      </c>
      <c r="D22" s="11" t="n">
        <v>2</v>
      </c>
      <c r="J22" s="17" t="s">
        <v>85</v>
      </c>
      <c r="K22" s="11" t="n">
        <f aca="false">1/3</f>
        <v>0.333333333333333</v>
      </c>
      <c r="L22" s="11" t="n">
        <v>1</v>
      </c>
      <c r="M22" s="11" t="n">
        <f aca="false">1/4</f>
        <v>0.25</v>
      </c>
    </row>
    <row r="23" customFormat="false" ht="15" hidden="false" customHeight="false" outlineLevel="0" collapsed="false">
      <c r="A23" s="17" t="s">
        <v>86</v>
      </c>
      <c r="B23" s="11" t="n">
        <v>2</v>
      </c>
      <c r="C23" s="11" t="n">
        <f aca="false">1/2</f>
        <v>0.5</v>
      </c>
      <c r="D23" s="11" t="n">
        <v>1</v>
      </c>
      <c r="J23" s="17" t="s">
        <v>86</v>
      </c>
      <c r="K23" s="11" t="n">
        <v>2</v>
      </c>
      <c r="L23" s="11" t="n">
        <v>4</v>
      </c>
      <c r="M23" s="11" t="n">
        <v>1</v>
      </c>
    </row>
    <row r="24" customFormat="false" ht="15" hidden="false" customHeight="false" outlineLevel="0" collapsed="false">
      <c r="A24" s="9" t="s">
        <v>73</v>
      </c>
      <c r="B24" s="12" t="n">
        <f aca="false">SUM(B21:B23)</f>
        <v>6</v>
      </c>
      <c r="C24" s="12" t="n">
        <f aca="false">SUM(C21:C23)</f>
        <v>1.83333333333333</v>
      </c>
      <c r="D24" s="12" t="n">
        <f aca="false">SUM(D21:D23)</f>
        <v>3.5</v>
      </c>
      <c r="J24" s="9" t="s">
        <v>73</v>
      </c>
      <c r="K24" s="12" t="n">
        <f aca="false">SUM(K21:K23)</f>
        <v>3.33333333333333</v>
      </c>
      <c r="L24" s="12" t="n">
        <f aca="false">SUM(L21:L23)</f>
        <v>8</v>
      </c>
      <c r="M24" s="12" t="n">
        <f aca="false">SUM(M21:M23)</f>
        <v>1.75</v>
      </c>
    </row>
    <row r="25" customFormat="false" ht="17.15" hidden="false" customHeight="false" outlineLevel="0" collapsed="false">
      <c r="A25" s="9" t="s">
        <v>74</v>
      </c>
      <c r="E25" s="9" t="s">
        <v>75</v>
      </c>
      <c r="F25" s="13" t="s">
        <v>76</v>
      </c>
      <c r="G25" s="13" t="s">
        <v>77</v>
      </c>
      <c r="J25" s="9" t="s">
        <v>74</v>
      </c>
      <c r="N25" s="9" t="s">
        <v>75</v>
      </c>
      <c r="O25" s="13" t="s">
        <v>76</v>
      </c>
      <c r="P25" s="13" t="s">
        <v>77</v>
      </c>
    </row>
    <row r="26" customFormat="false" ht="15" hidden="false" customHeight="false" outlineLevel="0" collapsed="false">
      <c r="B26" s="12" t="n">
        <f aca="false">B21/B$24</f>
        <v>0.166666666666667</v>
      </c>
      <c r="C26" s="12" t="n">
        <f aca="false">C21/C$24</f>
        <v>0.181818181818182</v>
      </c>
      <c r="D26" s="12" t="n">
        <f aca="false">D21/D$24</f>
        <v>0.142857142857143</v>
      </c>
      <c r="E26" s="12" t="n">
        <f aca="false">AVERAGE(B26:D26)</f>
        <v>0.163780663780664</v>
      </c>
      <c r="F26" s="12" t="n">
        <f aca="false">SUMPRODUCT(B21:D21,TRANSPOSE($E$26:$E$28))</f>
        <v>0.492063492063492</v>
      </c>
      <c r="G26" s="12" t="n">
        <f aca="false">F26/E26</f>
        <v>3.00440528634361</v>
      </c>
      <c r="K26" s="12" t="n">
        <f aca="false">K21/K$24</f>
        <v>0.3</v>
      </c>
      <c r="L26" s="12" t="n">
        <f aca="false">L21/L$24</f>
        <v>0.375</v>
      </c>
      <c r="M26" s="12" t="n">
        <f aca="false">M21/M$24</f>
        <v>0.285714285714286</v>
      </c>
      <c r="N26" s="12" t="n">
        <f aca="false">AVERAGE(K26:M26)</f>
        <v>0.320238095238095</v>
      </c>
      <c r="O26" s="12" t="n">
        <f aca="false">SUMPRODUCT(K21:M21,TRANSPOSE($N$26:$N$28))</f>
        <v>0.966666666666667</v>
      </c>
      <c r="P26" s="12" t="n">
        <f aca="false">O26/N26</f>
        <v>3.0185873605948</v>
      </c>
    </row>
    <row r="27" customFormat="false" ht="15" hidden="false" customHeight="false" outlineLevel="0" collapsed="false">
      <c r="B27" s="12" t="n">
        <f aca="false">B22/B$24</f>
        <v>0.5</v>
      </c>
      <c r="C27" s="12" t="n">
        <f aca="false">C22/C$24</f>
        <v>0.545454545454546</v>
      </c>
      <c r="D27" s="12" t="n">
        <f aca="false">D22/D$24</f>
        <v>0.571428571428571</v>
      </c>
      <c r="E27" s="12" t="n">
        <f aca="false">AVERAGE(B27:D27)</f>
        <v>0.538961038961039</v>
      </c>
      <c r="F27" s="12" t="n">
        <f aca="false">SUMPRODUCT(B22:D22,TRANSPOSE($E$26:$E$28))</f>
        <v>1.62481962481963</v>
      </c>
      <c r="G27" s="12" t="n">
        <f aca="false">F27/E27</f>
        <v>3.01472556894244</v>
      </c>
      <c r="K27" s="12" t="n">
        <f aca="false">K22/K$24</f>
        <v>0.1</v>
      </c>
      <c r="L27" s="12" t="n">
        <f aca="false">L22/L$24</f>
        <v>0.125</v>
      </c>
      <c r="M27" s="12" t="n">
        <f aca="false">M22/M$24</f>
        <v>0.142857142857143</v>
      </c>
      <c r="N27" s="12" t="n">
        <f aca="false">AVERAGE(K27:M27)</f>
        <v>0.122619047619048</v>
      </c>
      <c r="O27" s="12" t="n">
        <f aca="false">SUMPRODUCT(K22:M22,TRANSPOSE($N$26:$N$28))</f>
        <v>0.368650793650794</v>
      </c>
      <c r="P27" s="12" t="n">
        <f aca="false">O27/N27</f>
        <v>3.00647249190939</v>
      </c>
    </row>
    <row r="28" customFormat="false" ht="15" hidden="false" customHeight="false" outlineLevel="0" collapsed="false">
      <c r="B28" s="12" t="n">
        <f aca="false">B23/B$24</f>
        <v>0.333333333333333</v>
      </c>
      <c r="C28" s="12" t="n">
        <f aca="false">C23/C$24</f>
        <v>0.272727272727273</v>
      </c>
      <c r="D28" s="12" t="n">
        <f aca="false">D23/D$24</f>
        <v>0.285714285714286</v>
      </c>
      <c r="E28" s="12" t="n">
        <f aca="false">AVERAGE(B28:D28)</f>
        <v>0.297258297258297</v>
      </c>
      <c r="F28" s="12" t="n">
        <f aca="false">SUMPRODUCT(B23:D23,TRANSPOSE($E$26:$E$28))</f>
        <v>0.894300144300144</v>
      </c>
      <c r="G28" s="12" t="n">
        <f aca="false">F28/E28</f>
        <v>3.00849514563107</v>
      </c>
      <c r="K28" s="12" t="n">
        <f aca="false">K23/K$24</f>
        <v>0.6</v>
      </c>
      <c r="L28" s="12" t="n">
        <f aca="false">L23/L$24</f>
        <v>0.5</v>
      </c>
      <c r="M28" s="12" t="n">
        <f aca="false">M23/M$24</f>
        <v>0.571428571428571</v>
      </c>
      <c r="N28" s="12" t="n">
        <f aca="false">AVERAGE(K28:M28)</f>
        <v>0.557142857142857</v>
      </c>
      <c r="O28" s="12" t="n">
        <f aca="false">SUMPRODUCT(K23:M23,TRANSPOSE($N$26:$N$28))</f>
        <v>1.68809523809524</v>
      </c>
      <c r="P28" s="12" t="n">
        <f aca="false">O28/N28</f>
        <v>3.02991452991453</v>
      </c>
    </row>
    <row r="30" customFormat="false" ht="15" hidden="false" customHeight="false" outlineLevel="0" collapsed="false">
      <c r="A30" s="13" t="s">
        <v>78</v>
      </c>
      <c r="B30" s="12" t="n">
        <f aca="false">AVERAGE(G26:G28)</f>
        <v>3.00920866697237</v>
      </c>
      <c r="J30" s="13" t="s">
        <v>78</v>
      </c>
      <c r="K30" s="12" t="n">
        <f aca="false">AVERAGE(P26:P28)</f>
        <v>3.01832479413957</v>
      </c>
    </row>
    <row r="31" customFormat="false" ht="15" hidden="false" customHeight="false" outlineLevel="0" collapsed="false">
      <c r="A31" s="13" t="s">
        <v>79</v>
      </c>
      <c r="B31" s="12" t="n">
        <f aca="false">(B30-3)/(3-1)</f>
        <v>0.00460433348618605</v>
      </c>
      <c r="J31" s="13" t="s">
        <v>79</v>
      </c>
      <c r="K31" s="12" t="n">
        <f aca="false">(K30-3)/(3-1)</f>
        <v>0.00916239706978517</v>
      </c>
    </row>
    <row r="32" customFormat="false" ht="15" hidden="false" customHeight="false" outlineLevel="0" collapsed="false">
      <c r="A32" s="13" t="s">
        <v>87</v>
      </c>
      <c r="B32" s="12" t="n">
        <v>0.58</v>
      </c>
      <c r="J32" s="13" t="s">
        <v>87</v>
      </c>
      <c r="K32" s="12" t="n">
        <v>0.58</v>
      </c>
    </row>
    <row r="33" customFormat="false" ht="15" hidden="false" customHeight="false" outlineLevel="0" collapsed="false">
      <c r="A33" s="13" t="s">
        <v>81</v>
      </c>
      <c r="B33" s="12" t="n">
        <f aca="false">B31/B32</f>
        <v>0.00793850601066561</v>
      </c>
      <c r="J33" s="13" t="s">
        <v>81</v>
      </c>
      <c r="K33" s="12" t="n">
        <f aca="false">K31/K32</f>
        <v>0.0157972363272158</v>
      </c>
    </row>
    <row r="35" customFormat="false" ht="15" hidden="false" customHeight="false" outlineLevel="0" collapsed="false">
      <c r="A35" s="9" t="s">
        <v>119</v>
      </c>
    </row>
    <row r="36" customFormat="false" ht="17.15" hidden="false" customHeight="false" outlineLevel="0" collapsed="false">
      <c r="B36" s="16" t="s">
        <v>84</v>
      </c>
      <c r="C36" s="16" t="s">
        <v>85</v>
      </c>
      <c r="D36" s="16" t="s">
        <v>86</v>
      </c>
    </row>
    <row r="37" customFormat="false" ht="15" hidden="false" customHeight="false" outlineLevel="0" collapsed="false">
      <c r="A37" s="17" t="s">
        <v>84</v>
      </c>
      <c r="B37" s="11" t="n">
        <v>1</v>
      </c>
      <c r="C37" s="11" t="n">
        <f aca="false">1/2</f>
        <v>0.5</v>
      </c>
      <c r="D37" s="11" t="n">
        <v>3</v>
      </c>
    </row>
    <row r="38" customFormat="false" ht="15" hidden="false" customHeight="false" outlineLevel="0" collapsed="false">
      <c r="A38" s="17" t="s">
        <v>85</v>
      </c>
      <c r="B38" s="11" t="n">
        <v>2</v>
      </c>
      <c r="C38" s="11" t="n">
        <v>1</v>
      </c>
      <c r="D38" s="11" t="n">
        <v>5</v>
      </c>
    </row>
    <row r="39" customFormat="false" ht="15" hidden="false" customHeight="false" outlineLevel="0" collapsed="false">
      <c r="A39" s="17" t="s">
        <v>86</v>
      </c>
      <c r="B39" s="11" t="n">
        <f aca="false">1/3</f>
        <v>0.333333333333333</v>
      </c>
      <c r="C39" s="11" t="n">
        <f aca="false">1/5</f>
        <v>0.2</v>
      </c>
      <c r="D39" s="11" t="n">
        <v>1</v>
      </c>
    </row>
    <row r="40" customFormat="false" ht="15" hidden="false" customHeight="false" outlineLevel="0" collapsed="false">
      <c r="A40" s="9" t="s">
        <v>73</v>
      </c>
      <c r="B40" s="12" t="n">
        <f aca="false">SUM(B37:B39)</f>
        <v>3.33333333333333</v>
      </c>
      <c r="C40" s="12" t="n">
        <f aca="false">SUM(C37:C39)</f>
        <v>1.7</v>
      </c>
      <c r="D40" s="12" t="n">
        <f aca="false">SUM(D37:D39)</f>
        <v>9</v>
      </c>
    </row>
    <row r="41" customFormat="false" ht="17.15" hidden="false" customHeight="false" outlineLevel="0" collapsed="false">
      <c r="A41" s="9" t="s">
        <v>74</v>
      </c>
      <c r="E41" s="9" t="s">
        <v>75</v>
      </c>
      <c r="F41" s="13" t="s">
        <v>76</v>
      </c>
      <c r="G41" s="13" t="s">
        <v>77</v>
      </c>
    </row>
    <row r="42" customFormat="false" ht="15" hidden="false" customHeight="false" outlineLevel="0" collapsed="false">
      <c r="B42" s="12" t="n">
        <f aca="false">B37/B$40</f>
        <v>0.3</v>
      </c>
      <c r="C42" s="12" t="n">
        <f aca="false">C37/C$40</f>
        <v>0.294117647058824</v>
      </c>
      <c r="D42" s="12" t="n">
        <f aca="false">D37/D$40</f>
        <v>0.333333333333333</v>
      </c>
      <c r="E42" s="12" t="n">
        <f aca="false">AVERAGE(B42:D42)</f>
        <v>0.309150326797386</v>
      </c>
      <c r="F42" s="12" t="n">
        <f aca="false">SUMPRODUCT(B37:D37,TRANSPOSE($E$42:$E$44))</f>
        <v>0.928540305010893</v>
      </c>
      <c r="G42" s="12" t="n">
        <f aca="false">F42/E42</f>
        <v>3.00352360817477</v>
      </c>
    </row>
    <row r="43" customFormat="false" ht="15" hidden="false" customHeight="false" outlineLevel="0" collapsed="false">
      <c r="B43" s="12" t="n">
        <f aca="false">B38/B$40</f>
        <v>0.6</v>
      </c>
      <c r="C43" s="12" t="n">
        <f aca="false">C38/C$40</f>
        <v>0.588235294117647</v>
      </c>
      <c r="D43" s="12" t="n">
        <f aca="false">D38/D$40</f>
        <v>0.555555555555556</v>
      </c>
      <c r="E43" s="12" t="n">
        <f aca="false">AVERAGE(B43:D43)</f>
        <v>0.581263616557734</v>
      </c>
      <c r="F43" s="12" t="n">
        <f aca="false">SUMPRODUCT(B38:D38,TRANSPOSE($E$42:$E$44))</f>
        <v>1.74749455337691</v>
      </c>
      <c r="G43" s="12" t="n">
        <f aca="false">F43/E43</f>
        <v>3.00637181409295</v>
      </c>
    </row>
    <row r="44" customFormat="false" ht="15" hidden="false" customHeight="false" outlineLevel="0" collapsed="false">
      <c r="B44" s="12" t="n">
        <f aca="false">B39/B$40</f>
        <v>0.1</v>
      </c>
      <c r="C44" s="12" t="n">
        <f aca="false">C39/C$40</f>
        <v>0.117647058823529</v>
      </c>
      <c r="D44" s="12" t="n">
        <f aca="false">D39/D$40</f>
        <v>0.111111111111111</v>
      </c>
      <c r="E44" s="12" t="n">
        <f aca="false">AVERAGE(B44:D44)</f>
        <v>0.10958605664488</v>
      </c>
      <c r="F44" s="12" t="n">
        <f aca="false">SUMPRODUCT(B39:D39,TRANSPOSE($E$42:$E$44))</f>
        <v>0.328888888888889</v>
      </c>
      <c r="G44" s="12" t="n">
        <f aca="false">F44/E44</f>
        <v>3.00119284294235</v>
      </c>
    </row>
    <row r="46" customFormat="false" ht="15" hidden="false" customHeight="false" outlineLevel="0" collapsed="false">
      <c r="A46" s="13" t="s">
        <v>78</v>
      </c>
      <c r="B46" s="12" t="n">
        <f aca="false">AVERAGE(G42:G44)</f>
        <v>3.00369608840336</v>
      </c>
    </row>
    <row r="47" customFormat="false" ht="15" hidden="false" customHeight="false" outlineLevel="0" collapsed="false">
      <c r="A47" s="13" t="s">
        <v>79</v>
      </c>
      <c r="B47" s="12" t="n">
        <f aca="false">(B46-3)/(3-1)</f>
        <v>0.00184804420167839</v>
      </c>
    </row>
    <row r="48" customFormat="false" ht="15" hidden="false" customHeight="false" outlineLevel="0" collapsed="false">
      <c r="A48" s="13" t="s">
        <v>87</v>
      </c>
      <c r="B48" s="12" t="n">
        <v>0.58</v>
      </c>
    </row>
    <row r="49" customFormat="false" ht="15" hidden="false" customHeight="false" outlineLevel="0" collapsed="false">
      <c r="A49" s="13" t="s">
        <v>81</v>
      </c>
      <c r="B49" s="12" t="n">
        <f aca="false">B47/B48</f>
        <v>0.00318628310634205</v>
      </c>
    </row>
    <row r="52" customFormat="false" ht="15" hidden="false" customHeight="false" outlineLevel="0" collapsed="false">
      <c r="A52" s="9" t="s">
        <v>90</v>
      </c>
    </row>
    <row r="53" customFormat="false" ht="32.8" hidden="false" customHeight="false" outlineLevel="0" collapsed="false">
      <c r="A53" s="3" t="s">
        <v>55</v>
      </c>
      <c r="B53" s="3" t="s">
        <v>120</v>
      </c>
      <c r="C53" s="3" t="s">
        <v>121</v>
      </c>
      <c r="D53" s="3" t="s">
        <v>122</v>
      </c>
      <c r="E53" s="3" t="s">
        <v>95</v>
      </c>
    </row>
    <row r="54" customFormat="false" ht="15" hidden="false" customHeight="false" outlineLevel="0" collapsed="false">
      <c r="A54" s="18" t="s">
        <v>84</v>
      </c>
      <c r="B54" s="12" t="n">
        <f aca="false">E26</f>
        <v>0.163780663780664</v>
      </c>
      <c r="C54" s="12" t="n">
        <f aca="false">N26</f>
        <v>0.320238095238095</v>
      </c>
      <c r="D54" s="12" t="n">
        <f aca="false">E42</f>
        <v>0.309150326797386</v>
      </c>
      <c r="E54" s="12" t="n">
        <f aca="false">$E$11*B54+$E$12*C54+$E$13*D54</f>
        <v>0.231709383248249</v>
      </c>
    </row>
    <row r="55" customFormat="false" ht="15" hidden="false" customHeight="false" outlineLevel="0" collapsed="false">
      <c r="A55" s="18" t="s">
        <v>85</v>
      </c>
      <c r="B55" s="12" t="n">
        <f aca="false">E27</f>
        <v>0.538961038961039</v>
      </c>
      <c r="C55" s="12" t="n">
        <f aca="false">N27</f>
        <v>0.122619047619048</v>
      </c>
      <c r="D55" s="12" t="n">
        <f aca="false">E43</f>
        <v>0.581263616557734</v>
      </c>
      <c r="E55" s="12" t="n">
        <f aca="false">$E$11*B55+$E$12*C55+$E$13*D55</f>
        <v>0.410819574462782</v>
      </c>
    </row>
    <row r="56" customFormat="false" ht="15" hidden="false" customHeight="false" outlineLevel="0" collapsed="false">
      <c r="A56" s="18" t="s">
        <v>86</v>
      </c>
      <c r="B56" s="12" t="n">
        <f aca="false">E28</f>
        <v>0.297258297258297</v>
      </c>
      <c r="C56" s="12" t="n">
        <f aca="false">N28</f>
        <v>0.557142857142857</v>
      </c>
      <c r="D56" s="12" t="n">
        <f aca="false">E44</f>
        <v>0.10958605664488</v>
      </c>
      <c r="E56" s="12" t="n">
        <f aca="false">$E$11*B56+$E$12*C56+$E$13*D56</f>
        <v>0.35747104228897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2026-09-15T07:36:12Z</dcterms:created>
  <dc:creator>openpyxl</dc:creator>
  <dc:description/>
  <dc:language>en-US</dc:language>
  <cp:lastModifiedBy/>
  <dcterms:modified xsi:type="dcterms:W3CDTF">2026-09-15T07:36:14Z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