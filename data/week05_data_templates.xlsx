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資料彙整" sheetId="1" state="visible" r:id="rId3"/>
    <sheet name="01_EOQ計算機" sheetId="2" state="visible" r:id="rId4"/>
    <sheet name="02_數量折扣模型" sheetId="3" state="visible" r:id="rId5"/>
    <sheet name="03_安全庫存計算機" sheetId="4" state="visible" r:id="rId6"/>
    <sheet name="04_sQ與RS蒙地卡羅模擬" sheetId="5" state="visible" r:id="rId7"/>
    <sheet name="05_練習1_EOQ與ROP" sheetId="6" state="visible" r:id="rId8"/>
    <sheet name="06_練習2_數量折扣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<sst xmlns="http://schemas.openxmlformats.org/spreadsheetml/2006/main" count="145" uniqueCount="102">
  <si>
    <r>
      <rPr>
        <b val="true"/>
        <sz val="14"/>
        <rFont val="Noto Sans CJK SC"/>
        <family val="2"/>
      </rPr>
      <t xml:space="preserve">第</t>
    </r>
    <r>
      <rPr>
        <b val="true"/>
        <sz val="14"/>
        <rFont val="Arial"/>
        <family val="0"/>
        <charset val="1"/>
      </rPr>
      <t xml:space="preserve">5</t>
    </r>
    <r>
      <rPr>
        <b val="true"/>
        <sz val="14"/>
        <rFont val="Noto Sans CJK SC"/>
        <family val="2"/>
      </rPr>
      <t xml:space="preserve">週 存貨管制 — 本週模擬資料集彙整</t>
    </r>
  </si>
  <si>
    <t xml:space="preserve">以下為本週講義中所有模擬資料集，供學員自行複製至其他工作表練習使用。</t>
  </si>
  <si>
    <t xml:space="preserve">資料集名稱</t>
  </si>
  <si>
    <t xml:space="preserve">用途</t>
  </si>
  <si>
    <t xml:space="preserve">摘要</t>
  </si>
  <si>
    <r>
      <rPr>
        <sz val="11"/>
        <color theme="1"/>
        <rFont val="Noto Sans CJK SC"/>
        <family val="2"/>
      </rPr>
      <t xml:space="preserve">戰備零件 </t>
    </r>
    <r>
      <rPr>
        <sz val="11"/>
        <color theme="1"/>
        <rFont val="Calibri"/>
        <family val="2"/>
        <charset val="1"/>
      </rPr>
      <t xml:space="preserve">(D=4800,S=150,H=8)</t>
    </r>
  </si>
  <si>
    <r>
      <rPr>
        <sz val="11"/>
        <color theme="1"/>
        <rFont val="Calibri"/>
        <family val="2"/>
        <charset val="1"/>
      </rPr>
      <t xml:space="preserve">EOQ/EPQ</t>
    </r>
    <r>
      <rPr>
        <sz val="11"/>
        <color theme="1"/>
        <rFont val="Noto Sans CJK SC"/>
        <family val="2"/>
      </rPr>
      <t xml:space="preserve">主範例</t>
    </r>
  </si>
  <si>
    <r>
      <rPr>
        <sz val="11"/>
        <color theme="1"/>
        <rFont val="Calibri"/>
        <family val="2"/>
        <charset val="1"/>
      </rPr>
      <t xml:space="preserve">EOQ=424.26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EPQ(P=9600)=600</t>
    </r>
  </si>
  <si>
    <t xml:space="preserve">數量折扣報價表</t>
  </si>
  <si>
    <t xml:space="preserve">數量折扣主範例</t>
  </si>
  <si>
    <t xml:space="preserve">1-499:$10.00 / 500-999:$9.50 / 1000+:$9.00</t>
  </si>
  <si>
    <r>
      <rPr>
        <sz val="11"/>
        <color theme="1"/>
        <rFont val="Noto Sans CJK SC"/>
        <family val="2"/>
      </rPr>
      <t xml:space="preserve">戰備零件需求波動 </t>
    </r>
    <r>
      <rPr>
        <sz val="11"/>
        <color theme="1"/>
        <rFont val="Calibri"/>
        <family val="2"/>
        <charset val="1"/>
      </rPr>
      <t xml:space="preserve">(d=15,sd=4,LT=6)</t>
    </r>
  </si>
  <si>
    <r>
      <rPr>
        <sz val="11"/>
        <color theme="1"/>
        <rFont val="Noto Sans CJK SC"/>
        <family val="2"/>
      </rPr>
      <t xml:space="preserve">安全庫存</t>
    </r>
    <r>
      <rPr>
        <sz val="11"/>
        <color theme="1"/>
        <rFont val="Calibri"/>
        <family val="2"/>
        <charset val="1"/>
      </rPr>
      <t xml:space="preserve">/ROP</t>
    </r>
    <r>
      <rPr>
        <sz val="11"/>
        <color theme="1"/>
        <rFont val="Noto Sans CJK SC"/>
        <family val="2"/>
      </rPr>
      <t xml:space="preserve">主範例</t>
    </r>
  </si>
  <si>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服務水準 </t>
    </r>
    <r>
      <rPr>
        <sz val="11"/>
        <color theme="1"/>
        <rFont val="Calibri"/>
        <family val="2"/>
        <charset val="1"/>
      </rPr>
      <t xml:space="preserve">SS=16.12(</t>
    </r>
    <r>
      <rPr>
        <sz val="11"/>
        <color theme="1"/>
        <rFont val="Noto Sans CJK SC"/>
        <family val="2"/>
      </rPr>
      <t xml:space="preserve">固定</t>
    </r>
    <r>
      <rPr>
        <sz val="11"/>
        <color theme="1"/>
        <rFont val="Calibri"/>
        <family val="2"/>
        <charset val="1"/>
      </rPr>
      <t xml:space="preserve">LT)/40.37(</t>
    </r>
    <r>
      <rPr>
        <sz val="11"/>
        <color theme="1"/>
        <rFont val="Noto Sans CJK SC"/>
        <family val="2"/>
      </rPr>
      <t xml:space="preserve">隨機</t>
    </r>
    <r>
      <rPr>
        <sz val="11"/>
        <color theme="1"/>
        <rFont val="Calibri"/>
        <family val="2"/>
        <charset val="1"/>
      </rPr>
      <t xml:space="preserve">LT,sLT=1.5)</t>
    </r>
  </si>
  <si>
    <r>
      <rPr>
        <sz val="11"/>
        <color theme="1"/>
        <rFont val="Noto Sans CJK SC"/>
        <family val="2"/>
      </rPr>
      <t xml:space="preserve">通信零件 </t>
    </r>
    <r>
      <rPr>
        <sz val="11"/>
        <color theme="1"/>
        <rFont val="Calibri"/>
        <family val="2"/>
        <charset val="1"/>
      </rPr>
      <t xml:space="preserve">(D=3600,S=100,H=5)</t>
    </r>
  </si>
  <si>
    <t xml:space="preserve">延伸練習一</t>
  </si>
  <si>
    <r>
      <rPr>
        <sz val="11"/>
        <color theme="1"/>
        <rFont val="Calibri"/>
        <family val="2"/>
        <charset val="1"/>
      </rPr>
      <t xml:space="preserve">EOQ=379.47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d=10,sd=3,LT=4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ROP=50</t>
    </r>
  </si>
  <si>
    <r>
      <rPr>
        <sz val="11"/>
        <color theme="1"/>
        <rFont val="Noto Sans CJK SC"/>
        <family val="2"/>
      </rPr>
      <t xml:space="preserve">零附件折扣報價 </t>
    </r>
    <r>
      <rPr>
        <sz val="11"/>
        <color theme="1"/>
        <rFont val="Calibri"/>
        <family val="2"/>
        <charset val="1"/>
      </rPr>
      <t xml:space="preserve">(D=6000,S=120,i=25%)</t>
    </r>
  </si>
  <si>
    <t xml:space="preserve">延伸練習二</t>
  </si>
  <si>
    <t xml:space="preserve">1-299:$25 / 300-799:$23.5 / 800+:$22</t>
  </si>
  <si>
    <r>
      <rPr>
        <b val="true"/>
        <sz val="11"/>
        <color rgb="FF000000"/>
        <rFont val="Noto Sans CJK SC"/>
        <family val="2"/>
      </rPr>
      <t xml:space="preserve">年需求量 </t>
    </r>
    <r>
      <rPr>
        <b val="true"/>
        <sz val="11"/>
        <color rgb="FF000000"/>
        <rFont val="Arial"/>
        <family val="0"/>
        <charset val="1"/>
      </rPr>
      <t xml:space="preserve">D</t>
    </r>
  </si>
  <si>
    <r>
      <rPr>
        <b val="true"/>
        <sz val="11"/>
        <color rgb="FF000000"/>
        <rFont val="Noto Sans CJK SC"/>
        <family val="2"/>
      </rPr>
      <t xml:space="preserve">訂購成本 </t>
    </r>
    <r>
      <rPr>
        <b val="true"/>
        <sz val="11"/>
        <color rgb="FF000000"/>
        <rFont val="Arial"/>
        <family val="0"/>
        <charset val="1"/>
      </rPr>
      <t xml:space="preserve">S</t>
    </r>
  </si>
  <si>
    <r>
      <rPr>
        <b val="true"/>
        <sz val="11"/>
        <color rgb="FF000000"/>
        <rFont val="Noto Sans CJK SC"/>
        <family val="2"/>
      </rPr>
      <t xml:space="preserve">持有成本 </t>
    </r>
    <r>
      <rPr>
        <b val="true"/>
        <sz val="11"/>
        <color rgb="FF000000"/>
        <rFont val="Arial"/>
        <family val="0"/>
        <charset val="1"/>
      </rPr>
      <t xml:space="preserve">H</t>
    </r>
  </si>
  <si>
    <t xml:space="preserve">EOQ</t>
  </si>
  <si>
    <t xml:space="preserve">年訂購次數</t>
  </si>
  <si>
    <r>
      <rPr>
        <b val="true"/>
        <sz val="11"/>
        <color rgb="FF000000"/>
        <rFont val="Noto Sans CJK SC"/>
        <family val="2"/>
      </rPr>
      <t xml:space="preserve">訂購週期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天</t>
    </r>
    <r>
      <rPr>
        <b val="true"/>
        <sz val="11"/>
        <color rgb="FF000000"/>
        <rFont val="Arial"/>
        <family val="0"/>
        <charset val="1"/>
      </rPr>
      <t xml:space="preserve">)</t>
    </r>
  </si>
  <si>
    <t xml:space="preserve">年訂購成本</t>
  </si>
  <si>
    <t xml:space="preserve">年持有成本</t>
  </si>
  <si>
    <t xml:space="preserve">總成本</t>
  </si>
  <si>
    <r>
      <rPr>
        <b val="true"/>
        <sz val="11"/>
        <color rgb="FF000000"/>
        <rFont val="Noto Sans CJK SC"/>
        <family val="2"/>
      </rPr>
      <t xml:space="preserve">敏感度分析：不同</t>
    </r>
    <r>
      <rPr>
        <b val="true"/>
        <sz val="11"/>
        <color rgb="FF000000"/>
        <rFont val="Arial"/>
        <family val="0"/>
        <charset val="1"/>
      </rPr>
      <t xml:space="preserve">Q</t>
    </r>
    <r>
      <rPr>
        <b val="true"/>
        <sz val="11"/>
        <color rgb="FF000000"/>
        <rFont val="Noto Sans CJK SC"/>
        <family val="2"/>
      </rPr>
      <t xml:space="preserve">值對應之總成本</t>
    </r>
  </si>
  <si>
    <r>
      <rPr>
        <b val="true"/>
        <sz val="11"/>
        <color rgb="FFFFFFFF"/>
        <rFont val="Arial"/>
        <family val="0"/>
        <charset val="1"/>
      </rPr>
      <t xml:space="preserve">Q(</t>
    </r>
    <r>
      <rPr>
        <b val="true"/>
        <sz val="11"/>
        <color rgb="FFFFFFFF"/>
        <rFont val="Noto Sans CJK SC"/>
        <family val="2"/>
      </rPr>
      <t xml:space="preserve">佔</t>
    </r>
    <r>
      <rPr>
        <b val="true"/>
        <sz val="11"/>
        <color rgb="FFFFFFFF"/>
        <rFont val="Arial"/>
        <family val="0"/>
        <charset val="1"/>
      </rPr>
      <t xml:space="preserve">EOQ%)</t>
    </r>
  </si>
  <si>
    <r>
      <rPr>
        <b val="true"/>
        <sz val="11"/>
        <color rgb="FFFFFFFF"/>
        <rFont val="Arial"/>
        <family val="0"/>
        <charset val="1"/>
      </rPr>
      <t xml:space="preserve">Q</t>
    </r>
    <r>
      <rPr>
        <b val="true"/>
        <sz val="11"/>
        <color rgb="FFFFFFFF"/>
        <rFont val="Noto Sans CJK SC"/>
        <family val="2"/>
      </rPr>
      <t xml:space="preserve">值</t>
    </r>
  </si>
  <si>
    <t xml:space="preserve">訂購成本</t>
  </si>
  <si>
    <t xml:space="preserve">持有成本</t>
  </si>
  <si>
    <t xml:space="preserve">示範二：數量折扣模型比較表</t>
  </si>
  <si>
    <r>
      <rPr>
        <b val="true"/>
        <sz val="11"/>
        <color rgb="FF000000"/>
        <rFont val="Noto Sans CJK SC"/>
        <family val="2"/>
      </rPr>
      <t xml:space="preserve">年需求</t>
    </r>
    <r>
      <rPr>
        <b val="true"/>
        <sz val="11"/>
        <color rgb="FF000000"/>
        <rFont val="Arial"/>
        <family val="0"/>
        <charset val="1"/>
      </rPr>
      <t xml:space="preserve">D</t>
    </r>
  </si>
  <si>
    <r>
      <rPr>
        <i val="true"/>
        <sz val="9"/>
        <color rgb="FF666666"/>
        <rFont val="Noto Sans CJK SC"/>
        <family val="2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G</t>
    </r>
    <r>
      <rPr>
        <i val="true"/>
        <sz val="9"/>
        <color rgb="FF666666"/>
        <rFont val="Noto Sans CJK SC"/>
        <family val="2"/>
      </rPr>
      <t xml:space="preserve">欄使用</t>
    </r>
    <r>
      <rPr>
        <i val="true"/>
        <sz val="9"/>
        <color rgb="FF666666"/>
        <rFont val="Arial"/>
        <family val="0"/>
        <charset val="1"/>
      </rPr>
      <t xml:space="preserve">MEDIAN</t>
    </r>
    <r>
      <rPr>
        <i val="true"/>
        <sz val="9"/>
        <color rgb="FF666666"/>
        <rFont val="Noto Sans CJK SC"/>
        <family val="2"/>
      </rPr>
      <t xml:space="preserve">技巧自動處理</t>
    </r>
    <r>
      <rPr>
        <i val="true"/>
        <sz val="9"/>
        <color rgb="FF666666"/>
        <rFont val="Arial"/>
        <family val="0"/>
        <charset val="1"/>
      </rPr>
      <t xml:space="preserve">EOQ</t>
    </r>
    <r>
      <rPr>
        <i val="true"/>
        <sz val="9"/>
        <color rgb="FF666666"/>
        <rFont val="Noto Sans CJK SC"/>
        <family val="2"/>
      </rPr>
      <t xml:space="preserve">落於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超出區間三種情況；</t>
    </r>
    <r>
      <rPr>
        <i val="true"/>
        <sz val="9"/>
        <color rgb="FF666666"/>
        <rFont val="Arial"/>
        <family val="0"/>
        <charset val="1"/>
      </rPr>
      <t xml:space="preserve">K</t>
    </r>
    <r>
      <rPr>
        <i val="true"/>
        <sz val="9"/>
        <color rgb="FF666666"/>
        <rFont val="Noto Sans CJK SC"/>
        <family val="2"/>
      </rPr>
      <t xml:space="preserve">欄自動標示最適方案。</t>
    </r>
  </si>
  <si>
    <r>
      <rPr>
        <b val="true"/>
        <sz val="11"/>
        <color rgb="FF000000"/>
        <rFont val="Noto Sans CJK SC"/>
        <family val="2"/>
      </rPr>
      <t xml:space="preserve">訂購成本</t>
    </r>
    <r>
      <rPr>
        <b val="true"/>
        <sz val="11"/>
        <color rgb="FF000000"/>
        <rFont val="Arial"/>
        <family val="0"/>
        <charset val="1"/>
      </rPr>
      <t xml:space="preserve">S</t>
    </r>
  </si>
  <si>
    <r>
      <rPr>
        <b val="true"/>
        <sz val="11"/>
        <color rgb="FF000000"/>
        <rFont val="Noto Sans CJK SC"/>
        <family val="2"/>
      </rPr>
      <t xml:space="preserve">持有成本率</t>
    </r>
    <r>
      <rPr>
        <b val="true"/>
        <sz val="11"/>
        <color rgb="FF000000"/>
        <rFont val="Arial"/>
        <family val="0"/>
        <charset val="1"/>
      </rPr>
      <t xml:space="preserve">i</t>
    </r>
  </si>
  <si>
    <t xml:space="preserve">區間下限</t>
  </si>
  <si>
    <t xml:space="preserve">區間上限</t>
  </si>
  <si>
    <r>
      <rPr>
        <b val="true"/>
        <sz val="11"/>
        <color rgb="FFFFFFFF"/>
        <rFont val="Noto Sans CJK SC"/>
        <family val="2"/>
      </rPr>
      <t xml:space="preserve">單價</t>
    </r>
    <r>
      <rPr>
        <b val="true"/>
        <sz val="11"/>
        <color rgb="FFFFFFFF"/>
        <rFont val="Arial"/>
        <family val="0"/>
        <charset val="1"/>
      </rPr>
      <t xml:space="preserve">P</t>
    </r>
  </si>
  <si>
    <r>
      <rPr>
        <b val="true"/>
        <sz val="11"/>
        <color rgb="FFFFFFFF"/>
        <rFont val="Noto Sans CJK SC"/>
        <family val="2"/>
      </rPr>
      <t xml:space="preserve">持有成本</t>
    </r>
    <r>
      <rPr>
        <b val="true"/>
        <sz val="11"/>
        <color rgb="FFFFFFFF"/>
        <rFont val="Arial"/>
        <family val="0"/>
        <charset val="1"/>
      </rPr>
      <t xml:space="preserve">H</t>
    </r>
  </si>
  <si>
    <r>
      <rPr>
        <b val="true"/>
        <sz val="11"/>
        <color rgb="FFFFFFFF"/>
        <rFont val="Noto Sans CJK SC"/>
        <family val="2"/>
      </rPr>
      <t xml:space="preserve">理論</t>
    </r>
    <r>
      <rPr>
        <b val="true"/>
        <sz val="11"/>
        <color rgb="FFFFFFFF"/>
        <rFont val="Arial"/>
        <family val="0"/>
        <charset val="1"/>
      </rPr>
      <t xml:space="preserve">EOQ</t>
    </r>
  </si>
  <si>
    <r>
      <rPr>
        <b val="true"/>
        <sz val="11"/>
        <color rgb="FFFFFFFF"/>
        <rFont val="Noto Sans CJK SC"/>
        <family val="2"/>
      </rPr>
      <t xml:space="preserve">可行訂購量</t>
    </r>
    <r>
      <rPr>
        <b val="true"/>
        <sz val="11"/>
        <color rgb="FFFFFFFF"/>
        <rFont val="Arial"/>
        <family val="0"/>
        <charset val="1"/>
      </rPr>
      <t xml:space="preserve">Q</t>
    </r>
  </si>
  <si>
    <t xml:space="preserve">進貨成本</t>
  </si>
  <si>
    <t xml:space="preserve">最適單價</t>
  </si>
  <si>
    <t xml:space="preserve">最適訂購量</t>
  </si>
  <si>
    <t xml:space="preserve">最低總成本</t>
  </si>
  <si>
    <r>
      <rPr>
        <b val="true"/>
        <sz val="11"/>
        <color rgb="FF000000"/>
        <rFont val="Noto Sans CJK SC"/>
        <family val="2"/>
      </rPr>
      <t xml:space="preserve">日平均需求 </t>
    </r>
    <r>
      <rPr>
        <b val="true"/>
        <sz val="11"/>
        <color rgb="FF000000"/>
        <rFont val="Arial"/>
        <family val="0"/>
        <charset val="1"/>
      </rPr>
      <t xml:space="preserve">d_bar</t>
    </r>
  </si>
  <si>
    <r>
      <rPr>
        <b val="true"/>
        <sz val="11"/>
        <color rgb="FF000000"/>
        <rFont val="Noto Sans CJK SC"/>
        <family val="2"/>
      </rPr>
      <t xml:space="preserve">日需求標準差 </t>
    </r>
    <r>
      <rPr>
        <b val="true"/>
        <sz val="11"/>
        <color rgb="FF000000"/>
        <rFont val="Arial"/>
        <family val="0"/>
        <charset val="1"/>
      </rPr>
      <t xml:space="preserve">sigma_d</t>
    </r>
  </si>
  <si>
    <r>
      <rPr>
        <b val="true"/>
        <sz val="11"/>
        <color rgb="FF000000"/>
        <rFont val="Noto Sans CJK SC"/>
        <family val="2"/>
      </rPr>
      <t xml:space="preserve">前置期平均 </t>
    </r>
    <r>
      <rPr>
        <b val="true"/>
        <sz val="11"/>
        <color rgb="FF000000"/>
        <rFont val="Arial"/>
        <family val="0"/>
        <charset val="1"/>
      </rPr>
      <t xml:space="preserve">LT</t>
    </r>
  </si>
  <si>
    <r>
      <rPr>
        <b val="true"/>
        <sz val="11"/>
        <color rgb="FF000000"/>
        <rFont val="Noto Sans CJK SC"/>
        <family val="2"/>
      </rPr>
      <t xml:space="preserve">前置期標準差 </t>
    </r>
    <r>
      <rPr>
        <b val="true"/>
        <sz val="11"/>
        <color rgb="FF000000"/>
        <rFont val="Arial"/>
        <family val="0"/>
        <charset val="1"/>
      </rPr>
      <t xml:space="preserve">sigma_LT</t>
    </r>
  </si>
  <si>
    <t xml:space="preserve">目標服務水準</t>
  </si>
  <si>
    <r>
      <rPr>
        <b val="true"/>
        <sz val="11"/>
        <color rgb="FF000000"/>
        <rFont val="Arial"/>
        <family val="0"/>
        <charset val="1"/>
      </rPr>
      <t xml:space="preserve">z</t>
    </r>
    <r>
      <rPr>
        <b val="true"/>
        <sz val="11"/>
        <color rgb="FF000000"/>
        <rFont val="Noto Sans CJK SC"/>
        <family val="2"/>
      </rPr>
      <t xml:space="preserve">值</t>
    </r>
  </si>
  <si>
    <t xml:space="preserve">合併標準差</t>
  </si>
  <si>
    <r>
      <rPr>
        <b val="true"/>
        <sz val="11"/>
        <color rgb="FF000000"/>
        <rFont val="Noto Sans CJK SC"/>
        <family val="2"/>
      </rPr>
      <t xml:space="preserve">安全庫存</t>
    </r>
    <r>
      <rPr>
        <b val="true"/>
        <sz val="11"/>
        <color rgb="FF000000"/>
        <rFont val="Arial"/>
        <family val="0"/>
        <charset val="1"/>
      </rPr>
      <t xml:space="preserve">SS</t>
    </r>
  </si>
  <si>
    <r>
      <rPr>
        <b val="true"/>
        <sz val="11"/>
        <color rgb="FF000000"/>
        <rFont val="Noto Sans CJK SC"/>
        <family val="2"/>
      </rPr>
      <t xml:space="preserve">再訂購點</t>
    </r>
    <r>
      <rPr>
        <b val="true"/>
        <sz val="11"/>
        <color rgb="FF000000"/>
        <rFont val="Arial"/>
        <family val="0"/>
        <charset val="1"/>
      </rPr>
      <t xml:space="preserve">ROP</t>
    </r>
  </si>
  <si>
    <r>
      <rPr>
        <b val="true"/>
        <sz val="11"/>
        <color rgb="FF000000"/>
        <rFont val="Noto Sans CJK SC"/>
        <family val="2"/>
      </rPr>
      <t xml:space="preserve">敏感度分析：服務水準 </t>
    </r>
    <r>
      <rPr>
        <b val="true"/>
        <sz val="11"/>
        <color rgb="FF000000"/>
        <rFont val="Arial"/>
        <family val="0"/>
        <charset val="1"/>
      </rPr>
      <t xml:space="preserve">vs </t>
    </r>
    <r>
      <rPr>
        <b val="true"/>
        <sz val="11"/>
        <color rgb="FF000000"/>
        <rFont val="Noto Sans CJK SC"/>
        <family val="2"/>
      </rPr>
      <t xml:space="preserve">安全庫存</t>
    </r>
    <r>
      <rPr>
        <b val="true"/>
        <sz val="11"/>
        <color rgb="FF000000"/>
        <rFont val="Arial"/>
        <family val="0"/>
        <charset val="1"/>
      </rPr>
      <t xml:space="preserve">/ROP</t>
    </r>
    <r>
      <rPr>
        <b val="true"/>
        <sz val="11"/>
        <color rgb="FF000000"/>
        <rFont val="Noto Sans CJK SC"/>
        <family val="2"/>
      </rPr>
      <t xml:space="preserve">（固定前置期情境）</t>
    </r>
  </si>
  <si>
    <t xml:space="preserve">服務水準</t>
  </si>
  <si>
    <r>
      <rPr>
        <b val="true"/>
        <sz val="11"/>
        <color rgb="FFFFFFFF"/>
        <rFont val="Arial"/>
        <family val="0"/>
        <charset val="1"/>
      </rPr>
      <t xml:space="preserve">z</t>
    </r>
    <r>
      <rPr>
        <b val="true"/>
        <sz val="11"/>
        <color rgb="FFFFFFFF"/>
        <rFont val="Noto Sans CJK SC"/>
        <family val="2"/>
      </rPr>
      <t xml:space="preserve">值</t>
    </r>
  </si>
  <si>
    <t xml:space="preserve">安全庫存</t>
  </si>
  <si>
    <t xml:space="preserve">ROP</t>
  </si>
  <si>
    <r>
      <rPr>
        <b val="true"/>
        <sz val="14"/>
        <rFont val="Noto Sans CJK SC"/>
        <family val="2"/>
      </rPr>
      <t xml:space="preserve">示範四：</t>
    </r>
    <r>
      <rPr>
        <b val="true"/>
        <sz val="14"/>
        <rFont val="Arial"/>
        <family val="0"/>
        <charset val="1"/>
      </rPr>
      <t xml:space="preserve">(s,Q) </t>
    </r>
    <r>
      <rPr>
        <b val="true"/>
        <sz val="14"/>
        <rFont val="Noto Sans CJK SC"/>
        <family val="2"/>
      </rPr>
      <t xml:space="preserve">與 </t>
    </r>
    <r>
      <rPr>
        <b val="true"/>
        <sz val="14"/>
        <rFont val="Arial"/>
        <family val="0"/>
        <charset val="1"/>
      </rPr>
      <t xml:space="preserve">(R,S) </t>
    </r>
    <r>
      <rPr>
        <b val="true"/>
        <sz val="14"/>
        <rFont val="Noto Sans CJK SC"/>
        <family val="2"/>
      </rPr>
      <t xml:space="preserve">制度蒙地卡羅模擬比較（</t>
    </r>
    <r>
      <rPr>
        <b val="true"/>
        <sz val="14"/>
        <rFont val="Arial"/>
        <family val="0"/>
        <charset val="1"/>
      </rPr>
      <t xml:space="preserve">90</t>
    </r>
    <r>
      <rPr>
        <b val="true"/>
        <sz val="14"/>
        <rFont val="Noto Sans CJK SC"/>
        <family val="2"/>
      </rPr>
      <t xml:space="preserve">天）</t>
    </r>
  </si>
  <si>
    <r>
      <rPr>
        <i val="true"/>
        <sz val="9"/>
        <color rgb="FF666666"/>
        <rFont val="Noto Sans CJK SC"/>
        <family val="2"/>
      </rPr>
      <t xml:space="preserve">說明：每次按</t>
    </r>
    <r>
      <rPr>
        <i val="true"/>
        <sz val="9"/>
        <color rgb="FF666666"/>
        <rFont val="Arial"/>
        <family val="0"/>
        <charset val="1"/>
      </rPr>
      <t xml:space="preserve">F9</t>
    </r>
    <r>
      <rPr>
        <i val="true"/>
        <sz val="9"/>
        <color rgb="FF666666"/>
        <rFont val="Noto Sans CJK SC"/>
        <family val="2"/>
      </rPr>
      <t xml:space="preserve">重新計算會產生新的隨機需求，兩制度總成本會隨之變化；此為蒙地卡羅模擬之本質。</t>
    </r>
  </si>
  <si>
    <t xml:space="preserve">模擬參數</t>
  </si>
  <si>
    <t xml:space="preserve">日平均需求</t>
  </si>
  <si>
    <t xml:space="preserve">日需求標準差</t>
  </si>
  <si>
    <r>
      <rPr>
        <b val="true"/>
        <sz val="11"/>
        <color rgb="FF000000"/>
        <rFont val="Noto Sans CJK SC"/>
        <family val="2"/>
      </rPr>
      <t xml:space="preserve">前置期</t>
    </r>
    <r>
      <rPr>
        <b val="true"/>
        <sz val="11"/>
        <color rgb="FF000000"/>
        <rFont val="Arial"/>
        <family val="0"/>
        <charset val="1"/>
      </rPr>
      <t xml:space="preserve">LT(</t>
    </r>
    <r>
      <rPr>
        <b val="true"/>
        <sz val="11"/>
        <color rgb="FF000000"/>
        <rFont val="Noto Sans CJK SC"/>
        <family val="2"/>
      </rPr>
      <t xml:space="preserve">天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</si>
  <si>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Arial"/>
        <family val="0"/>
        <charset val="1"/>
      </rPr>
      <t xml:space="preserve">EOQ(=s,Q</t>
    </r>
    <r>
      <rPr>
        <b val="true"/>
        <sz val="11"/>
        <color rgb="FF000000"/>
        <rFont val="Noto Sans CJK SC"/>
        <family val="2"/>
      </rPr>
      <t xml:space="preserve">制度</t>
    </r>
    <r>
      <rPr>
        <b val="true"/>
        <sz val="11"/>
        <color rgb="FF000000"/>
        <rFont val="Arial"/>
        <family val="0"/>
        <charset val="1"/>
      </rPr>
      <t xml:space="preserve">Q)</t>
    </r>
  </si>
  <si>
    <r>
      <rPr>
        <b val="true"/>
        <sz val="11"/>
        <color rgb="FF000000"/>
        <rFont val="Arial"/>
        <family val="0"/>
        <charset val="1"/>
      </rPr>
      <t xml:space="preserve">ROP(=s,Q</t>
    </r>
    <r>
      <rPr>
        <b val="true"/>
        <sz val="11"/>
        <color rgb="FF000000"/>
        <rFont val="Noto Sans CJK SC"/>
        <family val="2"/>
      </rPr>
      <t xml:space="preserve">制度</t>
    </r>
    <r>
      <rPr>
        <b val="true"/>
        <sz val="11"/>
        <color rgb="FF000000"/>
        <rFont val="Arial"/>
        <family val="0"/>
        <charset val="1"/>
      </rPr>
      <t xml:space="preserve">s)</t>
    </r>
  </si>
  <si>
    <t xml:space="preserve">每日單位持有成本</t>
  </si>
  <si>
    <t xml:space="preserve">每次訂購成本</t>
  </si>
  <si>
    <t xml:space="preserve">單位缺貨罰款</t>
  </si>
  <si>
    <r>
      <rPr>
        <b val="true"/>
        <sz val="11"/>
        <color rgb="FF000000"/>
        <rFont val="Arial"/>
        <family val="0"/>
        <charset val="1"/>
      </rPr>
      <t xml:space="preserve">R(</t>
    </r>
    <r>
      <rPr>
        <b val="true"/>
        <sz val="11"/>
        <color rgb="FF000000"/>
        <rFont val="Noto Sans CJK SC"/>
        <family val="2"/>
      </rPr>
      <t xml:space="preserve">檢查週期</t>
    </r>
    <r>
      <rPr>
        <b val="true"/>
        <sz val="11"/>
        <color rgb="FF000000"/>
        <rFont val="Arial"/>
        <family val="0"/>
        <charset val="1"/>
      </rPr>
      <t xml:space="preserve">,</t>
    </r>
    <r>
      <rPr>
        <b val="true"/>
        <sz val="11"/>
        <color rgb="FF000000"/>
        <rFont val="Noto Sans CJK SC"/>
        <family val="2"/>
      </rPr>
      <t xml:space="preserve">天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</si>
  <si>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Arial"/>
        <family val="0"/>
        <charset val="1"/>
      </rPr>
      <t xml:space="preserve">S(</t>
    </r>
    <r>
      <rPr>
        <b val="true"/>
        <sz val="11"/>
        <color rgb="FF000000"/>
        <rFont val="Noto Sans CJK SC"/>
        <family val="2"/>
      </rPr>
      <t xml:space="preserve">訂購至水準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</si>
  <si>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Arial"/>
        <family val="0"/>
        <charset val="1"/>
      </rPr>
      <t xml:space="preserve">(s,Q) </t>
    </r>
    <r>
      <rPr>
        <b val="true"/>
        <sz val="11"/>
        <color rgb="FF000000"/>
        <rFont val="Noto Sans CJK SC"/>
        <family val="2"/>
      </rPr>
      <t xml:space="preserve">連續檢查制度模擬</t>
    </r>
  </si>
  <si>
    <t xml:space="preserve">天</t>
  </si>
  <si>
    <t xml:space="preserve">需求</t>
  </si>
  <si>
    <t xml:space="preserve">期初庫存</t>
  </si>
  <si>
    <t xml:space="preserve">到貨量</t>
  </si>
  <si>
    <t xml:space="preserve">可用庫存</t>
  </si>
  <si>
    <t xml:space="preserve">是否訂購</t>
  </si>
  <si>
    <t xml:space="preserve">訂購量</t>
  </si>
  <si>
    <t xml:space="preserve">實際出貨</t>
  </si>
  <si>
    <t xml:space="preserve">缺貨量</t>
  </si>
  <si>
    <t xml:space="preserve">期末庫存</t>
  </si>
  <si>
    <t xml:space="preserve">缺貨成本</t>
  </si>
  <si>
    <r>
      <rPr>
        <b val="true"/>
        <sz val="11"/>
        <color rgb="FF000000"/>
        <rFont val="Arial"/>
        <family val="0"/>
        <charset val="1"/>
      </rPr>
      <t xml:space="preserve">(s,Q)</t>
    </r>
    <r>
      <rPr>
        <b val="true"/>
        <sz val="11"/>
        <color rgb="FF000000"/>
        <rFont val="Noto Sans CJK SC"/>
        <family val="2"/>
      </rPr>
      <t xml:space="preserve">總成本</t>
    </r>
  </si>
  <si>
    <r>
      <rPr>
        <b val="true"/>
        <sz val="11"/>
        <color rgb="FF000000"/>
        <rFont val="Arial"/>
        <family val="0"/>
        <charset val="1"/>
      </rPr>
      <t xml:space="preserve">(R,S) </t>
    </r>
    <r>
      <rPr>
        <b val="true"/>
        <sz val="11"/>
        <color rgb="FF000000"/>
        <rFont val="Noto Sans CJK SC"/>
        <family val="2"/>
      </rPr>
      <t xml:space="preserve">定期檢查制度模擬</t>
    </r>
  </si>
  <si>
    <t xml:space="preserve">是否檢查日</t>
  </si>
  <si>
    <r>
      <rPr>
        <b val="true"/>
        <sz val="11"/>
        <color rgb="FF000000"/>
        <rFont val="Arial"/>
        <family val="0"/>
        <charset val="1"/>
      </rPr>
      <t xml:space="preserve">(R,S)</t>
    </r>
    <r>
      <rPr>
        <b val="true"/>
        <sz val="11"/>
        <color rgb="FF000000"/>
        <rFont val="Noto Sans CJK SC"/>
        <family val="2"/>
      </rPr>
      <t xml:space="preserve">總成本</t>
    </r>
  </si>
  <si>
    <t xml:space="preserve">兩制度總成本比較</t>
  </si>
  <si>
    <r>
      <rPr>
        <sz val="11"/>
        <color theme="1"/>
        <rFont val="Calibri"/>
        <family val="2"/>
        <charset val="1"/>
      </rPr>
      <t xml:space="preserve">(s,Q)</t>
    </r>
    <r>
      <rPr>
        <sz val="11"/>
        <color theme="1"/>
        <rFont val="Noto Sans CJK SC"/>
        <family val="2"/>
      </rPr>
      <t xml:space="preserve">總成本</t>
    </r>
  </si>
  <si>
    <r>
      <rPr>
        <sz val="11"/>
        <color theme="1"/>
        <rFont val="Calibri"/>
        <family val="2"/>
        <charset val="1"/>
      </rPr>
      <t xml:space="preserve">(R,S)</t>
    </r>
    <r>
      <rPr>
        <sz val="11"/>
        <color theme="1"/>
        <rFont val="Noto Sans CJK SC"/>
        <family val="2"/>
      </rPr>
      <t xml:space="preserve">總成本</t>
    </r>
  </si>
  <si>
    <r>
      <rPr>
        <b val="true"/>
        <sz val="14"/>
        <rFont val="Noto Sans CJK SC"/>
        <family val="2"/>
      </rPr>
      <t xml:space="preserve">延伸練習一：通信零件 </t>
    </r>
    <r>
      <rPr>
        <b val="true"/>
        <sz val="14"/>
        <rFont val="Arial"/>
        <family val="0"/>
        <charset val="1"/>
      </rPr>
      <t xml:space="preserve">EOQ </t>
    </r>
    <r>
      <rPr>
        <b val="true"/>
        <sz val="14"/>
        <rFont val="Noto Sans CJK SC"/>
        <family val="2"/>
      </rPr>
      <t xml:space="preserve">與 </t>
    </r>
    <r>
      <rPr>
        <b val="true"/>
        <sz val="14"/>
        <rFont val="Arial"/>
        <family val="0"/>
        <charset val="1"/>
      </rPr>
      <t xml:space="preserve">ROP</t>
    </r>
  </si>
  <si>
    <r>
      <rPr>
        <i val="true"/>
        <sz val="9"/>
        <color rgb="FF666666"/>
        <rFont val="Noto Sans CJK SC"/>
        <family val="2"/>
      </rPr>
      <t xml:space="preserve">說明：計算</t>
    </r>
    <r>
      <rPr>
        <i val="true"/>
        <sz val="9"/>
        <color rgb="FF666666"/>
        <rFont val="Arial"/>
        <family val="0"/>
        <charset val="1"/>
      </rPr>
      <t xml:space="preserve">EOQ</t>
    </r>
    <r>
      <rPr>
        <i val="true"/>
        <sz val="9"/>
        <color rgb="FF666666"/>
        <rFont val="Noto Sans CJK SC"/>
        <family val="2"/>
      </rPr>
      <t xml:space="preserve">與安全庫存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再訂購點。</t>
    </r>
  </si>
  <si>
    <r>
      <rPr>
        <b val="true"/>
        <sz val="11"/>
        <color rgb="FF000000"/>
        <rFont val="Noto Sans CJK SC"/>
        <family val="2"/>
      </rPr>
      <t xml:space="preserve">持有成本</t>
    </r>
    <r>
      <rPr>
        <b val="true"/>
        <sz val="11"/>
        <color rgb="FF000000"/>
        <rFont val="Arial"/>
        <family val="0"/>
        <charset val="1"/>
      </rPr>
      <t xml:space="preserve">H</t>
    </r>
  </si>
  <si>
    <r>
      <rPr>
        <b val="true"/>
        <sz val="11"/>
        <color rgb="FF000000"/>
        <rFont val="Noto Sans CJK SC"/>
        <family val="2"/>
      </rPr>
      <t xml:space="preserve">前置期</t>
    </r>
    <r>
      <rPr>
        <b val="true"/>
        <sz val="11"/>
        <color rgb="FF000000"/>
        <rFont val="Arial"/>
        <family val="0"/>
        <charset val="1"/>
      </rPr>
      <t xml:space="preserve">LT</t>
    </r>
  </si>
  <si>
    <t xml:space="preserve">sigma_LT</t>
  </si>
  <si>
    <t xml:space="preserve">延伸練習二：零附件數量折扣模型</t>
  </si>
  <si>
    <t xml:space="preserve">說明：計算各區間可行訂購量與總成本，選出最適方案。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</si>
</sst>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b val="true"/>
      <sz val="11"/>
      <color rgb="FF000000"/>
      <name val="Noto Sans CJK SC"/>
      <family val="2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總成本曲線 vs. 訂購量 Q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01_EOQ計算機!C14</c:f>
              <c:strCache>
                <c:ptCount val="1"/>
                <c:pt idx="0">
                  <c:v>訂購成本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01_EOQ計算機!$B$15:$B$25</c:f>
              <c:strCache>
                <c:ptCount val="11"/>
                <c:pt idx="0">
                  <c:v>212.132034355964</c:v>
                </c:pt>
                <c:pt idx="1">
                  <c:v>254.558441227157</c:v>
                </c:pt>
                <c:pt idx="2">
                  <c:v>296.98484809835</c:v>
                </c:pt>
                <c:pt idx="3">
                  <c:v>339.411254969543</c:v>
                </c:pt>
                <c:pt idx="4">
                  <c:v>381.837661840736</c:v>
                </c:pt>
                <c:pt idx="5">
                  <c:v>424.264068711929</c:v>
                </c:pt>
                <c:pt idx="6">
                  <c:v>466.690475583121</c:v>
                </c:pt>
                <c:pt idx="7">
                  <c:v>509.116882454314</c:v>
                </c:pt>
                <c:pt idx="8">
                  <c:v>551.543289325507</c:v>
                </c:pt>
                <c:pt idx="9">
                  <c:v>593.9696961967</c:v>
                </c:pt>
                <c:pt idx="10">
                  <c:v>636.396103067893</c:v>
                </c:pt>
              </c:strCache>
            </c:strRef>
          </c:cat>
          <c:val>
            <c:numRef>
              <c:f>01_EOQ計算機!$C$15:$C$25</c:f>
              <c:numCache>
                <c:formatCode>General</c:formatCode>
                <c:ptCount val="11"/>
                <c:pt idx="0">
                  <c:v>3394.11254969543</c:v>
                </c:pt>
                <c:pt idx="1">
                  <c:v>2828.42712474619</c:v>
                </c:pt>
                <c:pt idx="2">
                  <c:v>2424.36610692531</c:v>
                </c:pt>
                <c:pt idx="3">
                  <c:v>2121.32034355964</c:v>
                </c:pt>
                <c:pt idx="4">
                  <c:v>1885.61808316413</c:v>
                </c:pt>
                <c:pt idx="5">
                  <c:v>1697.05627484771</c:v>
                </c:pt>
                <c:pt idx="6">
                  <c:v>1542.77843167974</c:v>
                </c:pt>
                <c:pt idx="7">
                  <c:v>1414.2135623731</c:v>
                </c:pt>
                <c:pt idx="8">
                  <c:v>1305.42790372901</c:v>
                </c:pt>
                <c:pt idx="9">
                  <c:v>1212.18305346265</c:v>
                </c:pt>
                <c:pt idx="10">
                  <c:v>1131.37084989848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01_EOQ計算機!D14</c:f>
              <c:strCache>
                <c:ptCount val="1"/>
                <c:pt idx="0">
                  <c:v>持有成本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01_EOQ計算機!$B$15:$B$25</c:f>
              <c:strCache>
                <c:ptCount val="11"/>
                <c:pt idx="0">
                  <c:v>212.132034355964</c:v>
                </c:pt>
                <c:pt idx="1">
                  <c:v>254.558441227157</c:v>
                </c:pt>
                <c:pt idx="2">
                  <c:v>296.98484809835</c:v>
                </c:pt>
                <c:pt idx="3">
                  <c:v>339.411254969543</c:v>
                </c:pt>
                <c:pt idx="4">
                  <c:v>381.837661840736</c:v>
                </c:pt>
                <c:pt idx="5">
                  <c:v>424.264068711929</c:v>
                </c:pt>
                <c:pt idx="6">
                  <c:v>466.690475583121</c:v>
                </c:pt>
                <c:pt idx="7">
                  <c:v>509.116882454314</c:v>
                </c:pt>
                <c:pt idx="8">
                  <c:v>551.543289325507</c:v>
                </c:pt>
                <c:pt idx="9">
                  <c:v>593.9696961967</c:v>
                </c:pt>
                <c:pt idx="10">
                  <c:v>636.396103067893</c:v>
                </c:pt>
              </c:strCache>
            </c:strRef>
          </c:cat>
          <c:val>
            <c:numRef>
              <c:f>01_EOQ計算機!$D$15:$D$25</c:f>
              <c:numCache>
                <c:formatCode>General</c:formatCode>
                <c:ptCount val="11"/>
                <c:pt idx="0">
                  <c:v>848.528137423857</c:v>
                </c:pt>
                <c:pt idx="1">
                  <c:v>1018.23376490863</c:v>
                </c:pt>
                <c:pt idx="2">
                  <c:v>1187.9393923934</c:v>
                </c:pt>
                <c:pt idx="3">
                  <c:v>1357.64501987817</c:v>
                </c:pt>
                <c:pt idx="4">
                  <c:v>1527.35064736294</c:v>
                </c:pt>
                <c:pt idx="5">
                  <c:v>1697.05627484771</c:v>
                </c:pt>
                <c:pt idx="6">
                  <c:v>1866.76190233249</c:v>
                </c:pt>
                <c:pt idx="7">
                  <c:v>2036.46752981726</c:v>
                </c:pt>
                <c:pt idx="8">
                  <c:v>2206.17315730203</c:v>
                </c:pt>
                <c:pt idx="9">
                  <c:v>2375.8787847868</c:v>
                </c:pt>
                <c:pt idx="10">
                  <c:v>2545.58441227157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01_EOQ計算機!E14</c:f>
              <c:strCache>
                <c:ptCount val="1"/>
                <c:pt idx="0">
                  <c:v>總成本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01_EOQ計算機!$B$15:$B$25</c:f>
              <c:strCache>
                <c:ptCount val="11"/>
                <c:pt idx="0">
                  <c:v>212.132034355964</c:v>
                </c:pt>
                <c:pt idx="1">
                  <c:v>254.558441227157</c:v>
                </c:pt>
                <c:pt idx="2">
                  <c:v>296.98484809835</c:v>
                </c:pt>
                <c:pt idx="3">
                  <c:v>339.411254969543</c:v>
                </c:pt>
                <c:pt idx="4">
                  <c:v>381.837661840736</c:v>
                </c:pt>
                <c:pt idx="5">
                  <c:v>424.264068711929</c:v>
                </c:pt>
                <c:pt idx="6">
                  <c:v>466.690475583121</c:v>
                </c:pt>
                <c:pt idx="7">
                  <c:v>509.116882454314</c:v>
                </c:pt>
                <c:pt idx="8">
                  <c:v>551.543289325507</c:v>
                </c:pt>
                <c:pt idx="9">
                  <c:v>593.9696961967</c:v>
                </c:pt>
                <c:pt idx="10">
                  <c:v>636.396103067893</c:v>
                </c:pt>
              </c:strCache>
            </c:strRef>
          </c:cat>
          <c:val>
            <c:numRef>
              <c:f>01_EOQ計算機!$E$15:$E$25</c:f>
              <c:numCache>
                <c:formatCode>General</c:formatCode>
                <c:ptCount val="11"/>
                <c:pt idx="0">
                  <c:v>4242.64068711929</c:v>
                </c:pt>
                <c:pt idx="1">
                  <c:v>3846.66088965482</c:v>
                </c:pt>
                <c:pt idx="2">
                  <c:v>3612.30549931871</c:v>
                </c:pt>
                <c:pt idx="3">
                  <c:v>3478.96536343781</c:v>
                </c:pt>
                <c:pt idx="4">
                  <c:v>3412.96873052707</c:v>
                </c:pt>
                <c:pt idx="5">
                  <c:v>3394.11254969543</c:v>
                </c:pt>
                <c:pt idx="6">
                  <c:v>3409.54033401223</c:v>
                </c:pt>
                <c:pt idx="7">
                  <c:v>3450.68109219035</c:v>
                </c:pt>
                <c:pt idx="8">
                  <c:v>3511.60106103104</c:v>
                </c:pt>
                <c:pt idx="9">
                  <c:v>3588.06183824945</c:v>
                </c:pt>
                <c:pt idx="10">
                  <c:v>3676.95526217005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039952"/>
        <c:axId val="83546246"/>
      </c:lineChart>
      <c:catAx>
        <c:axId val="530399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訂購量 Q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546246"/>
        <c:crosses val="autoZero"/>
        <c:auto val="1"/>
        <c:lblAlgn val="ctr"/>
        <c:lblOffset val="100"/>
        <c:noMultiLvlLbl val="0"/>
      </c:catAx>
      <c:valAx>
        <c:axId val="835462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年成本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399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服務水準 vs. 安全庫存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03_安全庫存計算機!C14</c:f>
              <c:strCache>
                <c:ptCount val="1"/>
                <c:pt idx="0">
                  <c:v>安全庫存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03_安全庫存計算機!$A$15:$A$20</c:f>
              <c:strCache>
                <c:ptCount val="6"/>
                <c:pt idx="0">
                  <c:v>0.85</c:v>
                </c:pt>
                <c:pt idx="1">
                  <c:v>0.9</c:v>
                </c:pt>
                <c:pt idx="2">
                  <c:v>0.95</c:v>
                </c:pt>
                <c:pt idx="3">
                  <c:v>0.975</c:v>
                </c:pt>
                <c:pt idx="4">
                  <c:v>0.99</c:v>
                </c:pt>
                <c:pt idx="5">
                  <c:v>0.999</c:v>
                </c:pt>
              </c:strCache>
            </c:strRef>
          </c:cat>
          <c:val>
            <c:numRef>
              <c:f>03_安全庫存計算機!$C$15:$C$20</c:f>
              <c:numCache>
                <c:formatCode>General</c:formatCode>
                <c:ptCount val="6"/>
                <c:pt idx="0">
                  <c:v>10.1549318265722</c:v>
                </c:pt>
                <c:pt idx="1">
                  <c:v>12.5565896585969</c:v>
                </c:pt>
                <c:pt idx="2">
                  <c:v>16.1162083503894</c:v>
                </c:pt>
                <c:pt idx="3">
                  <c:v>19.2036467054212</c:v>
                </c:pt>
                <c:pt idx="4">
                  <c:v>22.793461022434</c:v>
                </c:pt>
                <c:pt idx="5">
                  <c:v>30.2779693471011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35398"/>
        <c:axId val="79959566"/>
      </c:lineChart>
      <c:catAx>
        <c:axId val="39353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服務水準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59566"/>
        <c:crosses val="autoZero"/>
        <c:auto val="1"/>
        <c:lblAlgn val="ctr"/>
        <c:lblOffset val="100"/>
        <c:noMultiLvlLbl val="0"/>
      </c:catAx>
      <c:valAx>
        <c:axId val="799595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安全庫存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53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11</xdr:row>
      <xdr:rowOff>81360</xdr:rowOff>
    </xdr:from>
    <xdr:to>
      <xdr:col>14</xdr:col>
      <xdr:colOff>507600</xdr:colOff>
      <xdr:row>22</xdr:row>
      <xdr:rowOff>33840</xdr:rowOff>
    </xdr:to>
    <xdr:graphicFrame>
      <xdr:nvGraphicFramePr>
        <xdr:cNvPr id="0" name="Chart 1"/>
        <xdr:cNvGraphicFramePr/>
      </xdr:nvGraphicFramePr>
      <xdr:xfrm>
        <a:off x="3219480" y="2286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11</xdr:row>
      <xdr:rowOff>-720</xdr:rowOff>
    </xdr:from>
    <xdr:to>
      <xdr:col>13</xdr:col>
      <xdr:colOff>507600</xdr:colOff>
      <xdr:row>23</xdr:row>
      <xdr:rowOff>159480</xdr:rowOff>
    </xdr:to>
    <xdr:graphicFrame>
      <xdr:nvGraphicFramePr>
        <xdr:cNvPr id="1" name="Chart 1"/>
        <xdr:cNvGraphicFramePr/>
      </xdr:nvGraphicFramePr>
      <xdr:xfrm>
        <a:off x="4231080" y="2286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55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7.15" hidden="false" customHeight="false" outlineLevel="0" collapsed="false">
      <c r="A5" s="4" t="s">
        <v>5</v>
      </c>
      <c r="B5" s="5" t="s">
        <v>6</v>
      </c>
      <c r="C5" s="6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6" t="s">
        <v>10</v>
      </c>
    </row>
    <row r="7" customFormat="false" ht="17.15" hidden="false" customHeight="false" outlineLevel="0" collapsed="false">
      <c r="A7" s="4" t="s">
        <v>11</v>
      </c>
      <c r="B7" s="4" t="s">
        <v>12</v>
      </c>
      <c r="C7" s="6" t="s">
        <v>13</v>
      </c>
    </row>
    <row r="8" customFormat="false" ht="17.15" hidden="false" customHeight="false" outlineLevel="0" collapsed="false">
      <c r="A8" s="4" t="s">
        <v>14</v>
      </c>
      <c r="B8" s="4" t="s">
        <v>15</v>
      </c>
      <c r="C8" s="6" t="s">
        <v>16</v>
      </c>
    </row>
    <row r="9" customFormat="false" ht="17.15" hidden="false" customHeight="false" outlineLevel="0" collapsed="false">
      <c r="A9" s="4" t="s">
        <v>17</v>
      </c>
      <c r="B9" s="4" t="s">
        <v>18</v>
      </c>
      <c r="C9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5" min="3" style="0" width="3"/>
  </cols>
  <sheetData>
    <row r="1" customFormat="false" ht="17.15" hidden="false" customHeight="false" outlineLevel="0" collapsed="false">
      <c r="A1" s="7" t="s">
        <v>20</v>
      </c>
      <c r="B1" s="8" t="n">
        <v>4800</v>
      </c>
    </row>
    <row r="2" customFormat="false" ht="17.15" hidden="false" customHeight="false" outlineLevel="0" collapsed="false">
      <c r="A2" s="7" t="s">
        <v>21</v>
      </c>
      <c r="B2" s="8" t="n">
        <v>150</v>
      </c>
    </row>
    <row r="3" customFormat="false" ht="17.15" hidden="false" customHeight="false" outlineLevel="0" collapsed="false">
      <c r="A3" s="7" t="s">
        <v>22</v>
      </c>
      <c r="B3" s="8" t="n">
        <v>8</v>
      </c>
    </row>
    <row r="5" customFormat="false" ht="15" hidden="false" customHeight="false" outlineLevel="0" collapsed="false">
      <c r="A5" s="9" t="s">
        <v>23</v>
      </c>
      <c r="B5" s="10" t="n">
        <f aca="false">SQRT(2*B1*B2/B3)</f>
        <v>424.264068711929</v>
      </c>
    </row>
    <row r="6" customFormat="false" ht="15" hidden="false" customHeight="false" outlineLevel="0" collapsed="false">
      <c r="A6" s="7" t="s">
        <v>24</v>
      </c>
      <c r="B6" s="10" t="n">
        <f aca="false">B1/B5</f>
        <v>11.3137084989848</v>
      </c>
    </row>
    <row r="7" customFormat="false" ht="17.15" hidden="false" customHeight="false" outlineLevel="0" collapsed="false">
      <c r="A7" s="7" t="s">
        <v>25</v>
      </c>
      <c r="B7" s="10" t="n">
        <f aca="false">365/B6</f>
        <v>32.2617468916362</v>
      </c>
    </row>
    <row r="8" customFormat="false" ht="15" hidden="false" customHeight="false" outlineLevel="0" collapsed="false">
      <c r="A8" s="7" t="s">
        <v>26</v>
      </c>
      <c r="B8" s="10" t="n">
        <f aca="false">(B1/B5)*B2</f>
        <v>1697.05627484771</v>
      </c>
    </row>
    <row r="9" customFormat="false" ht="15" hidden="false" customHeight="false" outlineLevel="0" collapsed="false">
      <c r="A9" s="7" t="s">
        <v>27</v>
      </c>
      <c r="B9" s="10" t="n">
        <f aca="false">(B5/2)*B3</f>
        <v>1697.05627484771</v>
      </c>
    </row>
    <row r="10" customFormat="false" ht="15" hidden="false" customHeight="false" outlineLevel="0" collapsed="false">
      <c r="A10" s="7" t="s">
        <v>28</v>
      </c>
      <c r="B10" s="10" t="n">
        <f aca="false">B8+B9</f>
        <v>3394.11254969543</v>
      </c>
    </row>
    <row r="13" customFormat="false" ht="17.15" hidden="false" customHeight="false" outlineLevel="0" collapsed="false">
      <c r="A13" s="7" t="s">
        <v>29</v>
      </c>
    </row>
    <row r="14" customFormat="false" ht="64.15" hidden="false" customHeight="false" outlineLevel="0" collapsed="false">
      <c r="A14" s="11" t="s">
        <v>30</v>
      </c>
      <c r="B14" s="11" t="s">
        <v>31</v>
      </c>
      <c r="C14" s="3" t="s">
        <v>32</v>
      </c>
      <c r="D14" s="3" t="s">
        <v>33</v>
      </c>
      <c r="E14" s="3" t="s">
        <v>28</v>
      </c>
    </row>
    <row r="15" customFormat="false" ht="15" hidden="false" customHeight="false" outlineLevel="0" collapsed="false">
      <c r="A15" s="8" t="n">
        <v>0.5</v>
      </c>
      <c r="B15" s="10" t="n">
        <f aca="false">A15*$B$5</f>
        <v>212.132034355964</v>
      </c>
      <c r="C15" s="10" t="n">
        <f aca="false">($B$1/B15)*$B$2</f>
        <v>3394.11254969543</v>
      </c>
      <c r="D15" s="10" t="n">
        <f aca="false">(B15/2)*$B$3</f>
        <v>848.528137423857</v>
      </c>
      <c r="E15" s="10" t="n">
        <f aca="false">C15+D15</f>
        <v>4242.64068711929</v>
      </c>
    </row>
    <row r="16" customFormat="false" ht="15" hidden="false" customHeight="false" outlineLevel="0" collapsed="false">
      <c r="A16" s="8" t="n">
        <v>0.6</v>
      </c>
      <c r="B16" s="10" t="n">
        <f aca="false">A16*$B$5</f>
        <v>254.558441227157</v>
      </c>
      <c r="C16" s="10" t="n">
        <f aca="false">($B$1/B16)*$B$2</f>
        <v>2828.42712474619</v>
      </c>
      <c r="D16" s="10" t="n">
        <f aca="false">(B16/2)*$B$3</f>
        <v>1018.23376490863</v>
      </c>
      <c r="E16" s="10" t="n">
        <f aca="false">C16+D16</f>
        <v>3846.66088965482</v>
      </c>
    </row>
    <row r="17" customFormat="false" ht="15" hidden="false" customHeight="false" outlineLevel="0" collapsed="false">
      <c r="A17" s="8" t="n">
        <v>0.7</v>
      </c>
      <c r="B17" s="10" t="n">
        <f aca="false">A17*$B$5</f>
        <v>296.98484809835</v>
      </c>
      <c r="C17" s="10" t="n">
        <f aca="false">($B$1/B17)*$B$2</f>
        <v>2424.36610692531</v>
      </c>
      <c r="D17" s="10" t="n">
        <f aca="false">(B17/2)*$B$3</f>
        <v>1187.9393923934</v>
      </c>
      <c r="E17" s="10" t="n">
        <f aca="false">C17+D17</f>
        <v>3612.30549931871</v>
      </c>
    </row>
    <row r="18" customFormat="false" ht="15" hidden="false" customHeight="false" outlineLevel="0" collapsed="false">
      <c r="A18" s="8" t="n">
        <v>0.8</v>
      </c>
      <c r="B18" s="10" t="n">
        <f aca="false">A18*$B$5</f>
        <v>339.411254969543</v>
      </c>
      <c r="C18" s="10" t="n">
        <f aca="false">($B$1/B18)*$B$2</f>
        <v>2121.32034355964</v>
      </c>
      <c r="D18" s="10" t="n">
        <f aca="false">(B18/2)*$B$3</f>
        <v>1357.64501987817</v>
      </c>
      <c r="E18" s="10" t="n">
        <f aca="false">C18+D18</f>
        <v>3478.96536343781</v>
      </c>
    </row>
    <row r="19" customFormat="false" ht="15" hidden="false" customHeight="false" outlineLevel="0" collapsed="false">
      <c r="A19" s="8" t="n">
        <v>0.9</v>
      </c>
      <c r="B19" s="10" t="n">
        <f aca="false">A19*$B$5</f>
        <v>381.837661840736</v>
      </c>
      <c r="C19" s="10" t="n">
        <f aca="false">($B$1/B19)*$B$2</f>
        <v>1885.61808316413</v>
      </c>
      <c r="D19" s="10" t="n">
        <f aca="false">(B19/2)*$B$3</f>
        <v>1527.35064736294</v>
      </c>
      <c r="E19" s="10" t="n">
        <f aca="false">C19+D19</f>
        <v>3412.96873052707</v>
      </c>
    </row>
    <row r="20" customFormat="false" ht="15" hidden="false" customHeight="false" outlineLevel="0" collapsed="false">
      <c r="A20" s="8" t="n">
        <v>1</v>
      </c>
      <c r="B20" s="10" t="n">
        <f aca="false">A20*$B$5</f>
        <v>424.264068711929</v>
      </c>
      <c r="C20" s="10" t="n">
        <f aca="false">($B$1/B20)*$B$2</f>
        <v>1697.05627484771</v>
      </c>
      <c r="D20" s="10" t="n">
        <f aca="false">(B20/2)*$B$3</f>
        <v>1697.05627484771</v>
      </c>
      <c r="E20" s="10" t="n">
        <f aca="false">C20+D20</f>
        <v>3394.11254969543</v>
      </c>
    </row>
    <row r="21" customFormat="false" ht="15" hidden="false" customHeight="false" outlineLevel="0" collapsed="false">
      <c r="A21" s="8" t="n">
        <v>1.1</v>
      </c>
      <c r="B21" s="10" t="n">
        <f aca="false">A21*$B$5</f>
        <v>466.690475583121</v>
      </c>
      <c r="C21" s="10" t="n">
        <f aca="false">($B$1/B21)*$B$2</f>
        <v>1542.77843167974</v>
      </c>
      <c r="D21" s="10" t="n">
        <f aca="false">(B21/2)*$B$3</f>
        <v>1866.76190233249</v>
      </c>
      <c r="E21" s="10" t="n">
        <f aca="false">C21+D21</f>
        <v>3409.54033401223</v>
      </c>
    </row>
    <row r="22" customFormat="false" ht="15" hidden="false" customHeight="false" outlineLevel="0" collapsed="false">
      <c r="A22" s="8" t="n">
        <v>1.2</v>
      </c>
      <c r="B22" s="10" t="n">
        <f aca="false">A22*$B$5</f>
        <v>509.116882454314</v>
      </c>
      <c r="C22" s="10" t="n">
        <f aca="false">($B$1/B22)*$B$2</f>
        <v>1414.2135623731</v>
      </c>
      <c r="D22" s="10" t="n">
        <f aca="false">(B22/2)*$B$3</f>
        <v>2036.46752981726</v>
      </c>
      <c r="E22" s="10" t="n">
        <f aca="false">C22+D22</f>
        <v>3450.68109219035</v>
      </c>
    </row>
    <row r="23" customFormat="false" ht="15" hidden="false" customHeight="false" outlineLevel="0" collapsed="false">
      <c r="A23" s="8" t="n">
        <v>1.3</v>
      </c>
      <c r="B23" s="10" t="n">
        <f aca="false">A23*$B$5</f>
        <v>551.543289325507</v>
      </c>
      <c r="C23" s="10" t="n">
        <f aca="false">($B$1/B23)*$B$2</f>
        <v>1305.42790372901</v>
      </c>
      <c r="D23" s="10" t="n">
        <f aca="false">(B23/2)*$B$3</f>
        <v>2206.17315730203</v>
      </c>
      <c r="E23" s="10" t="n">
        <f aca="false">C23+D23</f>
        <v>3511.60106103104</v>
      </c>
    </row>
    <row r="24" customFormat="false" ht="15" hidden="false" customHeight="false" outlineLevel="0" collapsed="false">
      <c r="A24" s="8" t="n">
        <v>1.4</v>
      </c>
      <c r="B24" s="10" t="n">
        <f aca="false">A24*$B$5</f>
        <v>593.9696961967</v>
      </c>
      <c r="C24" s="10" t="n">
        <f aca="false">($B$1/B24)*$B$2</f>
        <v>1212.18305346265</v>
      </c>
      <c r="D24" s="10" t="n">
        <f aca="false">(B24/2)*$B$3</f>
        <v>2375.8787847868</v>
      </c>
      <c r="E24" s="10" t="n">
        <f aca="false">C24+D24</f>
        <v>3588.06183824945</v>
      </c>
    </row>
    <row r="25" customFormat="false" ht="15" hidden="false" customHeight="false" outlineLevel="0" collapsed="false">
      <c r="A25" s="8" t="n">
        <v>1.5</v>
      </c>
      <c r="B25" s="10" t="n">
        <f aca="false">A25*$B$5</f>
        <v>636.396103067893</v>
      </c>
      <c r="C25" s="10" t="n">
        <f aca="false">($B$1/B25)*$B$2</f>
        <v>1131.37084989848</v>
      </c>
      <c r="D25" s="10" t="n">
        <f aca="false">(B25/2)*$B$3</f>
        <v>2545.58441227157</v>
      </c>
      <c r="E25" s="10" t="n">
        <f aca="false">C25+D25</f>
        <v>3676.95526217005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7" min="6" style="0" width="12"/>
    <col collapsed="false" customWidth="true" hidden="false" outlineLevel="0" max="9" min="8" style="0" width="10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34</v>
      </c>
      <c r="F1" s="7" t="s">
        <v>35</v>
      </c>
      <c r="G1" s="8" t="n">
        <v>4800</v>
      </c>
    </row>
    <row r="2" customFormat="false" ht="17.15" hidden="false" customHeight="false" outlineLevel="0" collapsed="false">
      <c r="A2" s="2" t="s">
        <v>36</v>
      </c>
      <c r="F2" s="7" t="s">
        <v>37</v>
      </c>
      <c r="G2" s="8" t="n">
        <v>150</v>
      </c>
    </row>
    <row r="3" customFormat="false" ht="17.15" hidden="false" customHeight="false" outlineLevel="0" collapsed="false">
      <c r="F3" s="7" t="s">
        <v>38</v>
      </c>
      <c r="G3" s="8" t="n">
        <v>0.2</v>
      </c>
    </row>
    <row r="4" customFormat="false" ht="29.85" hidden="false" customHeight="false" outlineLevel="0" collapsed="false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32</v>
      </c>
      <c r="I4" s="3" t="s">
        <v>33</v>
      </c>
      <c r="J4" s="3" t="s">
        <v>28</v>
      </c>
    </row>
    <row r="5" customFormat="false" ht="15" hidden="false" customHeight="false" outlineLevel="0" collapsed="false">
      <c r="A5" s="8" t="n">
        <v>1</v>
      </c>
      <c r="B5" s="8" t="n">
        <v>499</v>
      </c>
      <c r="C5" s="8" t="n">
        <v>10</v>
      </c>
      <c r="D5" s="10" t="n">
        <f aca="false">$G$3*C5</f>
        <v>2</v>
      </c>
      <c r="E5" s="10" t="n">
        <f aca="false">SQRT(2*$G$1*$G$2/D5)</f>
        <v>848.528137423857</v>
      </c>
      <c r="F5" s="10" t="n">
        <f aca="false">MEDIAN(A5,E5,B5)</f>
        <v>499</v>
      </c>
      <c r="G5" s="10" t="n">
        <f aca="false">$G$1*C5</f>
        <v>48000</v>
      </c>
      <c r="H5" s="10" t="n">
        <f aca="false">($G$1/F5)*$G$2</f>
        <v>1442.88577154309</v>
      </c>
      <c r="I5" s="10" t="n">
        <f aca="false">(F5/2)*D5</f>
        <v>499</v>
      </c>
      <c r="J5" s="10" t="n">
        <f aca="false">G5+H5+I5</f>
        <v>49941.8857715431</v>
      </c>
    </row>
    <row r="6" customFormat="false" ht="15" hidden="false" customHeight="false" outlineLevel="0" collapsed="false">
      <c r="A6" s="8" t="n">
        <v>500</v>
      </c>
      <c r="B6" s="8" t="n">
        <v>999</v>
      </c>
      <c r="C6" s="8" t="n">
        <v>9.5</v>
      </c>
      <c r="D6" s="10" t="n">
        <f aca="false">$G$3*C6</f>
        <v>1.9</v>
      </c>
      <c r="E6" s="10" t="n">
        <f aca="false">SQRT(2*$G$1*$G$2/D6)</f>
        <v>870.571500132014</v>
      </c>
      <c r="F6" s="10" t="n">
        <f aca="false">MEDIAN(A6,E6,B6)</f>
        <v>870.571500132014</v>
      </c>
      <c r="G6" s="10" t="n">
        <f aca="false">$G$1*C6</f>
        <v>45600</v>
      </c>
      <c r="H6" s="10" t="n">
        <f aca="false">($G$1/F6)*$G$2</f>
        <v>827.042925125413</v>
      </c>
      <c r="I6" s="10" t="n">
        <f aca="false">(F6/2)*D6</f>
        <v>827.042925125413</v>
      </c>
      <c r="J6" s="10" t="n">
        <f aca="false">G6+H6+I6</f>
        <v>47254.0858502508</v>
      </c>
    </row>
    <row r="7" customFormat="false" ht="15" hidden="false" customHeight="false" outlineLevel="0" collapsed="false">
      <c r="A7" s="8" t="n">
        <v>1000</v>
      </c>
      <c r="B7" s="8" t="n">
        <v>999999</v>
      </c>
      <c r="C7" s="8" t="n">
        <v>9</v>
      </c>
      <c r="D7" s="10" t="n">
        <f aca="false">$G$3*C7</f>
        <v>1.8</v>
      </c>
      <c r="E7" s="10" t="n">
        <f aca="false">SQRT(2*$G$1*$G$2/D7)</f>
        <v>894.427190999916</v>
      </c>
      <c r="F7" s="10" t="n">
        <f aca="false">MEDIAN(A7,E7,B7)</f>
        <v>1000</v>
      </c>
      <c r="G7" s="10" t="n">
        <f aca="false">$G$1*C7</f>
        <v>43200</v>
      </c>
      <c r="H7" s="10" t="n">
        <f aca="false">($G$1/F7)*$G$2</f>
        <v>720</v>
      </c>
      <c r="I7" s="10" t="n">
        <f aca="false">(F7/2)*D7</f>
        <v>900</v>
      </c>
      <c r="J7" s="10" t="n">
        <f aca="false">G7+H7+I7</f>
        <v>44820</v>
      </c>
    </row>
    <row r="9" customFormat="false" ht="15" hidden="false" customHeight="false" outlineLevel="0" collapsed="false">
      <c r="A9" s="7" t="s">
        <v>46</v>
      </c>
      <c r="B9" s="10" t="n">
        <f aca="false">INDEX(C5:C7,MATCH(MIN(J5:J7),J5:J7,0))</f>
        <v>9</v>
      </c>
    </row>
    <row r="10" customFormat="false" ht="15" hidden="false" customHeight="false" outlineLevel="0" collapsed="false">
      <c r="A10" s="7" t="s">
        <v>47</v>
      </c>
      <c r="B10" s="10" t="n">
        <f aca="false">INDEX(F5:F7,MATCH(MIN(J5:J7),J5:J7,0))</f>
        <v>1000</v>
      </c>
    </row>
    <row r="11" customFormat="false" ht="15" hidden="false" customHeight="false" outlineLevel="0" collapsed="false">
      <c r="A11" s="7" t="s">
        <v>48</v>
      </c>
      <c r="B11" s="10" t="n">
        <f aca="false">MIN(J5:J7)</f>
        <v>44820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</cols>
  <sheetData>
    <row r="1" customFormat="false" ht="17.15" hidden="false" customHeight="false" outlineLevel="0" collapsed="false">
      <c r="A1" s="7" t="s">
        <v>49</v>
      </c>
      <c r="B1" s="8" t="n">
        <v>15</v>
      </c>
    </row>
    <row r="2" customFormat="false" ht="17.15" hidden="false" customHeight="false" outlineLevel="0" collapsed="false">
      <c r="A2" s="7" t="s">
        <v>50</v>
      </c>
      <c r="B2" s="8" t="n">
        <v>4</v>
      </c>
    </row>
    <row r="3" customFormat="false" ht="17.15" hidden="false" customHeight="false" outlineLevel="0" collapsed="false">
      <c r="A3" s="7" t="s">
        <v>51</v>
      </c>
      <c r="B3" s="8" t="n">
        <v>6</v>
      </c>
    </row>
    <row r="4" customFormat="false" ht="17.15" hidden="false" customHeight="false" outlineLevel="0" collapsed="false">
      <c r="A4" s="7" t="s">
        <v>52</v>
      </c>
      <c r="B4" s="8" t="n">
        <v>0</v>
      </c>
    </row>
    <row r="5" customFormat="false" ht="15" hidden="false" customHeight="false" outlineLevel="0" collapsed="false">
      <c r="A5" s="7" t="s">
        <v>53</v>
      </c>
      <c r="B5" s="8" t="n">
        <v>0.95</v>
      </c>
    </row>
    <row r="7" customFormat="false" ht="17.15" hidden="false" customHeight="false" outlineLevel="0" collapsed="false">
      <c r="A7" s="9" t="s">
        <v>54</v>
      </c>
      <c r="B7" s="10" t="n">
        <f aca="false">NORMSINV(B5)</f>
        <v>1.64485362695147</v>
      </c>
    </row>
    <row r="8" customFormat="false" ht="15" hidden="false" customHeight="false" outlineLevel="0" collapsed="false">
      <c r="A8" s="7" t="s">
        <v>55</v>
      </c>
      <c r="B8" s="10" t="n">
        <f aca="false">SQRT(B3*B2^2+B1^2*B4^2)</f>
        <v>9.79795897113271</v>
      </c>
    </row>
    <row r="9" customFormat="false" ht="17.15" hidden="false" customHeight="false" outlineLevel="0" collapsed="false">
      <c r="A9" s="7" t="s">
        <v>56</v>
      </c>
      <c r="B9" s="10" t="n">
        <f aca="false">B7*B8</f>
        <v>16.1162083503894</v>
      </c>
    </row>
    <row r="10" customFormat="false" ht="17.15" hidden="false" customHeight="false" outlineLevel="0" collapsed="false">
      <c r="A10" s="7" t="s">
        <v>57</v>
      </c>
      <c r="B10" s="10" t="n">
        <f aca="false">B1*B3+B9</f>
        <v>106.116208350389</v>
      </c>
    </row>
    <row r="13" customFormat="false" ht="17.15" hidden="false" customHeight="false" outlineLevel="0" collapsed="false">
      <c r="A13" s="7" t="s">
        <v>58</v>
      </c>
    </row>
    <row r="14" customFormat="false" ht="32.8" hidden="false" customHeight="false" outlineLevel="0" collapsed="false">
      <c r="A14" s="3" t="s">
        <v>59</v>
      </c>
      <c r="B14" s="11" t="s">
        <v>60</v>
      </c>
      <c r="C14" s="3" t="s">
        <v>61</v>
      </c>
      <c r="D14" s="11" t="s">
        <v>62</v>
      </c>
    </row>
    <row r="15" customFormat="false" ht="15" hidden="false" customHeight="false" outlineLevel="0" collapsed="false">
      <c r="A15" s="8" t="n">
        <v>0.85</v>
      </c>
      <c r="B15" s="10" t="n">
        <f aca="false">NORMSINV(A15)</f>
        <v>1.03643338949379</v>
      </c>
      <c r="C15" s="10" t="n">
        <f aca="false">B15*$B$2*SQRT($B$3)</f>
        <v>10.1549318265722</v>
      </c>
      <c r="D15" s="10" t="n">
        <f aca="false">$B$1*$B$3+C15</f>
        <v>100.154931826572</v>
      </c>
    </row>
    <row r="16" customFormat="false" ht="15" hidden="false" customHeight="false" outlineLevel="0" collapsed="false">
      <c r="A16" s="8" t="n">
        <v>0.9</v>
      </c>
      <c r="B16" s="10" t="n">
        <f aca="false">NORMSINV(A16)</f>
        <v>1.2815515655446</v>
      </c>
      <c r="C16" s="10" t="n">
        <f aca="false">B16*$B$2*SQRT($B$3)</f>
        <v>12.5565896585969</v>
      </c>
      <c r="D16" s="10" t="n">
        <f aca="false">$B$1*$B$3+C16</f>
        <v>102.556589658597</v>
      </c>
    </row>
    <row r="17" customFormat="false" ht="15" hidden="false" customHeight="false" outlineLevel="0" collapsed="false">
      <c r="A17" s="8" t="n">
        <v>0.95</v>
      </c>
      <c r="B17" s="10" t="n">
        <f aca="false">NORMSINV(A17)</f>
        <v>1.64485362695147</v>
      </c>
      <c r="C17" s="10" t="n">
        <f aca="false">B17*$B$2*SQRT($B$3)</f>
        <v>16.1162083503894</v>
      </c>
      <c r="D17" s="10" t="n">
        <f aca="false">$B$1*$B$3+C17</f>
        <v>106.116208350389</v>
      </c>
    </row>
    <row r="18" customFormat="false" ht="15" hidden="false" customHeight="false" outlineLevel="0" collapsed="false">
      <c r="A18" s="8" t="n">
        <v>0.975</v>
      </c>
      <c r="B18" s="10" t="n">
        <f aca="false">NORMSINV(A18)</f>
        <v>1.95996398454005</v>
      </c>
      <c r="C18" s="10" t="n">
        <f aca="false">B18*$B$2*SQRT($B$3)</f>
        <v>19.2036467054212</v>
      </c>
      <c r="D18" s="10" t="n">
        <f aca="false">$B$1*$B$3+C18</f>
        <v>109.203646705421</v>
      </c>
    </row>
    <row r="19" customFormat="false" ht="15" hidden="false" customHeight="false" outlineLevel="0" collapsed="false">
      <c r="A19" s="8" t="n">
        <v>0.99</v>
      </c>
      <c r="B19" s="10" t="n">
        <f aca="false">NORMSINV(A19)</f>
        <v>2.32634787404084</v>
      </c>
      <c r="C19" s="10" t="n">
        <f aca="false">B19*$B$2*SQRT($B$3)</f>
        <v>22.793461022434</v>
      </c>
      <c r="D19" s="10" t="n">
        <f aca="false">$B$1*$B$3+C19</f>
        <v>112.793461022434</v>
      </c>
    </row>
    <row r="20" customFormat="false" ht="15" hidden="false" customHeight="false" outlineLevel="0" collapsed="false">
      <c r="A20" s="8" t="n">
        <v>0.999</v>
      </c>
      <c r="B20" s="10" t="n">
        <f aca="false">NORMSINV(A20)</f>
        <v>3.09023230616781</v>
      </c>
      <c r="C20" s="10" t="n">
        <f aca="false">B20*$B$2*SQRT($B$3)</f>
        <v>30.2779693471011</v>
      </c>
      <c r="D20" s="10" t="n">
        <f aca="false">$B$1*$B$3+C20</f>
        <v>120.277969347101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8" min="6" style="0" width="8"/>
    <col collapsed="false" customWidth="true" hidden="false" outlineLevel="0" max="9" min="9" style="0" width="7"/>
    <col collapsed="false" customWidth="true" hidden="false" outlineLevel="0" max="13" min="10" style="0" width="9"/>
  </cols>
  <sheetData>
    <row r="1" customFormat="false" ht="21.6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7" t="s">
        <v>65</v>
      </c>
    </row>
    <row r="5" customFormat="false" ht="15" hidden="false" customHeight="false" outlineLevel="0" collapsed="false">
      <c r="A5" s="7" t="s">
        <v>66</v>
      </c>
      <c r="B5" s="8" t="n">
        <v>15</v>
      </c>
    </row>
    <row r="6" customFormat="false" ht="15" hidden="false" customHeight="false" outlineLevel="0" collapsed="false">
      <c r="A6" s="7" t="s">
        <v>67</v>
      </c>
      <c r="B6" s="8" t="n">
        <v>4</v>
      </c>
    </row>
    <row r="7" customFormat="false" ht="17.15" hidden="false" customHeight="false" outlineLevel="0" collapsed="false">
      <c r="A7" s="7" t="s">
        <v>68</v>
      </c>
      <c r="B7" s="8" t="n">
        <v>6</v>
      </c>
    </row>
    <row r="8" customFormat="false" ht="17.15" hidden="false" customHeight="false" outlineLevel="0" collapsed="false">
      <c r="A8" s="9" t="s">
        <v>69</v>
      </c>
      <c r="B8" s="8" t="n">
        <v>424</v>
      </c>
    </row>
    <row r="9" customFormat="false" ht="17.15" hidden="false" customHeight="false" outlineLevel="0" collapsed="false">
      <c r="A9" s="9" t="s">
        <v>70</v>
      </c>
      <c r="B9" s="8" t="n">
        <v>106</v>
      </c>
    </row>
    <row r="10" customFormat="false" ht="15" hidden="false" customHeight="false" outlineLevel="0" collapsed="false">
      <c r="A10" s="7" t="s">
        <v>71</v>
      </c>
      <c r="B10" s="8" t="n">
        <v>0.0219178082191781</v>
      </c>
    </row>
    <row r="11" customFormat="false" ht="15" hidden="false" customHeight="false" outlineLevel="0" collapsed="false">
      <c r="A11" s="7" t="s">
        <v>72</v>
      </c>
      <c r="B11" s="8" t="n">
        <v>150</v>
      </c>
    </row>
    <row r="12" customFormat="false" ht="15" hidden="false" customHeight="false" outlineLevel="0" collapsed="false">
      <c r="A12" s="7" t="s">
        <v>73</v>
      </c>
      <c r="B12" s="8" t="n">
        <v>20</v>
      </c>
    </row>
    <row r="13" customFormat="false" ht="17.15" hidden="false" customHeight="false" outlineLevel="0" collapsed="false">
      <c r="A13" s="9" t="s">
        <v>74</v>
      </c>
      <c r="B13" s="8" t="n">
        <v>30</v>
      </c>
    </row>
    <row r="14" customFormat="false" ht="17.15" hidden="false" customHeight="false" outlineLevel="0" collapsed="false">
      <c r="A14" s="9" t="s">
        <v>75</v>
      </c>
      <c r="B14" s="8" t="n">
        <v>580</v>
      </c>
    </row>
    <row r="17" customFormat="false" ht="17.15" hidden="false" customHeight="false" outlineLevel="0" collapsed="false">
      <c r="A17" s="9" t="s">
        <v>76</v>
      </c>
    </row>
    <row r="18" customFormat="false" ht="32.8" hidden="false" customHeight="false" outlineLevel="0" collapsed="false">
      <c r="A18" s="3" t="s">
        <v>77</v>
      </c>
      <c r="B18" s="3" t="s">
        <v>78</v>
      </c>
      <c r="C18" s="3" t="s">
        <v>79</v>
      </c>
      <c r="D18" s="3" t="s">
        <v>80</v>
      </c>
      <c r="E18" s="3" t="s">
        <v>81</v>
      </c>
      <c r="F18" s="3" t="s">
        <v>82</v>
      </c>
      <c r="G18" s="3" t="s">
        <v>83</v>
      </c>
      <c r="H18" s="3" t="s">
        <v>84</v>
      </c>
      <c r="I18" s="3" t="s">
        <v>85</v>
      </c>
      <c r="J18" s="3" t="s">
        <v>86</v>
      </c>
      <c r="K18" s="3" t="s">
        <v>33</v>
      </c>
      <c r="L18" s="3" t="s">
        <v>32</v>
      </c>
      <c r="M18" s="3" t="s">
        <v>87</v>
      </c>
    </row>
    <row r="19" customFormat="false" ht="15" hidden="false" customHeight="false" outlineLevel="0" collapsed="false">
      <c r="A19" s="12" t="n">
        <v>1</v>
      </c>
      <c r="B19" s="10" t="n">
        <f aca="true">ROUND(MAX(0,NORMINV(RAND(),$B$5,$B$6)),0)</f>
        <v>15</v>
      </c>
      <c r="C19" s="10" t="n">
        <f aca="false">$B$9+$B$8</f>
        <v>530</v>
      </c>
      <c r="D19" s="10" t="n">
        <f aca="false">IF(ROW()-$B$7&gt;=19,INDEX($G$19:$G$108,ROW()-$B$7-19+1),0)</f>
        <v>0</v>
      </c>
      <c r="E19" s="10" t="n">
        <f aca="false">C19+D19</f>
        <v>530</v>
      </c>
      <c r="F19" s="10" t="str">
        <f aca="false">IF(E19&lt;=$B$9,"是","否")</f>
        <v>否</v>
      </c>
      <c r="G19" s="10" t="n">
        <f aca="false">IF(F19="是",$B$8,0)</f>
        <v>0</v>
      </c>
      <c r="H19" s="10" t="n">
        <f aca="false">MIN(E19,B19)</f>
        <v>15</v>
      </c>
      <c r="I19" s="10" t="n">
        <f aca="false">MAX(0,B19-E19)</f>
        <v>0</v>
      </c>
      <c r="J19" s="10" t="n">
        <f aca="false">E19-H19</f>
        <v>515</v>
      </c>
      <c r="K19" s="10" t="n">
        <f aca="false">J19*$B$10</f>
        <v>11.2876712328767</v>
      </c>
      <c r="L19" s="10" t="n">
        <f aca="false">IF(F19="是",$B$11,0)</f>
        <v>0</v>
      </c>
      <c r="M19" s="10" t="n">
        <f aca="false">I19*$B$12</f>
        <v>0</v>
      </c>
    </row>
    <row r="20" customFormat="false" ht="15" hidden="false" customHeight="false" outlineLevel="0" collapsed="false">
      <c r="A20" s="12" t="n">
        <v>2</v>
      </c>
      <c r="B20" s="10" t="n">
        <f aca="true">ROUND(MAX(0,NORMINV(RAND(),$B$5,$B$6)),0)</f>
        <v>23</v>
      </c>
      <c r="C20" s="10" t="n">
        <f aca="false">J19</f>
        <v>515</v>
      </c>
      <c r="D20" s="10" t="n">
        <f aca="false">IF(ROW()-$B$7&gt;=19,INDEX($G$19:$G$108,ROW()-$B$7-19+1),0)</f>
        <v>0</v>
      </c>
      <c r="E20" s="10" t="n">
        <f aca="false">C20+D20</f>
        <v>515</v>
      </c>
      <c r="F20" s="10" t="str">
        <f aca="false">IF(E20&lt;=$B$9,"是","否")</f>
        <v>否</v>
      </c>
      <c r="G20" s="10" t="n">
        <f aca="false">IF(F20="是",$B$8,0)</f>
        <v>0</v>
      </c>
      <c r="H20" s="10" t="n">
        <f aca="false">MIN(E20,B20)</f>
        <v>23</v>
      </c>
      <c r="I20" s="10" t="n">
        <f aca="false">MAX(0,B20-E20)</f>
        <v>0</v>
      </c>
      <c r="J20" s="10" t="n">
        <f aca="false">E20-H20</f>
        <v>492</v>
      </c>
      <c r="K20" s="10" t="n">
        <f aca="false">J20*$B$10</f>
        <v>10.7835616438356</v>
      </c>
      <c r="L20" s="10" t="n">
        <f aca="false">IF(F20="是",$B$11,0)</f>
        <v>0</v>
      </c>
      <c r="M20" s="10" t="n">
        <f aca="false">I20*$B$12</f>
        <v>0</v>
      </c>
    </row>
    <row r="21" customFormat="false" ht="15" hidden="false" customHeight="false" outlineLevel="0" collapsed="false">
      <c r="A21" s="12" t="n">
        <v>3</v>
      </c>
      <c r="B21" s="10" t="n">
        <f aca="true">ROUND(MAX(0,NORMINV(RAND(),$B$5,$B$6)),0)</f>
        <v>13</v>
      </c>
      <c r="C21" s="10" t="n">
        <f aca="false">J20</f>
        <v>492</v>
      </c>
      <c r="D21" s="10" t="n">
        <f aca="false">IF(ROW()-$B$7&gt;=19,INDEX($G$19:$G$108,ROW()-$B$7-19+1),0)</f>
        <v>0</v>
      </c>
      <c r="E21" s="10" t="n">
        <f aca="false">C21+D21</f>
        <v>492</v>
      </c>
      <c r="F21" s="10" t="str">
        <f aca="false">IF(E21&lt;=$B$9,"是","否")</f>
        <v>否</v>
      </c>
      <c r="G21" s="10" t="n">
        <f aca="false">IF(F21="是",$B$8,0)</f>
        <v>0</v>
      </c>
      <c r="H21" s="10" t="n">
        <f aca="false">MIN(E21,B21)</f>
        <v>13</v>
      </c>
      <c r="I21" s="10" t="n">
        <f aca="false">MAX(0,B21-E21)</f>
        <v>0</v>
      </c>
      <c r="J21" s="10" t="n">
        <f aca="false">E21-H21</f>
        <v>479</v>
      </c>
      <c r="K21" s="10" t="n">
        <f aca="false">J21*$B$10</f>
        <v>10.4986301369863</v>
      </c>
      <c r="L21" s="10" t="n">
        <f aca="false">IF(F21="是",$B$11,0)</f>
        <v>0</v>
      </c>
      <c r="M21" s="10" t="n">
        <f aca="false">I21*$B$12</f>
        <v>0</v>
      </c>
    </row>
    <row r="22" customFormat="false" ht="15" hidden="false" customHeight="false" outlineLevel="0" collapsed="false">
      <c r="A22" s="12" t="n">
        <v>4</v>
      </c>
      <c r="B22" s="10" t="n">
        <f aca="true">ROUND(MAX(0,NORMINV(RAND(),$B$5,$B$6)),0)</f>
        <v>17</v>
      </c>
      <c r="C22" s="10" t="n">
        <f aca="false">J21</f>
        <v>479</v>
      </c>
      <c r="D22" s="10" t="n">
        <f aca="false">IF(ROW()-$B$7&gt;=19,INDEX($G$19:$G$108,ROW()-$B$7-19+1),0)</f>
        <v>0</v>
      </c>
      <c r="E22" s="10" t="n">
        <f aca="false">C22+D22</f>
        <v>479</v>
      </c>
      <c r="F22" s="10" t="str">
        <f aca="false">IF(E22&lt;=$B$9,"是","否")</f>
        <v>否</v>
      </c>
      <c r="G22" s="10" t="n">
        <f aca="false">IF(F22="是",$B$8,0)</f>
        <v>0</v>
      </c>
      <c r="H22" s="10" t="n">
        <f aca="false">MIN(E22,B22)</f>
        <v>17</v>
      </c>
      <c r="I22" s="10" t="n">
        <f aca="false">MAX(0,B22-E22)</f>
        <v>0</v>
      </c>
      <c r="J22" s="10" t="n">
        <f aca="false">E22-H22</f>
        <v>462</v>
      </c>
      <c r="K22" s="10" t="n">
        <f aca="false">J22*$B$10</f>
        <v>10.1260273972603</v>
      </c>
      <c r="L22" s="10" t="n">
        <f aca="false">IF(F22="是",$B$11,0)</f>
        <v>0</v>
      </c>
      <c r="M22" s="10" t="n">
        <f aca="false">I22*$B$12</f>
        <v>0</v>
      </c>
    </row>
    <row r="23" customFormat="false" ht="15" hidden="false" customHeight="false" outlineLevel="0" collapsed="false">
      <c r="A23" s="12" t="n">
        <v>5</v>
      </c>
      <c r="B23" s="10" t="n">
        <f aca="true">ROUND(MAX(0,NORMINV(RAND(),$B$5,$B$6)),0)</f>
        <v>19</v>
      </c>
      <c r="C23" s="10" t="n">
        <f aca="false">J22</f>
        <v>462</v>
      </c>
      <c r="D23" s="10" t="n">
        <f aca="false">IF(ROW()-$B$7&gt;=19,INDEX($G$19:$G$108,ROW()-$B$7-19+1),0)</f>
        <v>0</v>
      </c>
      <c r="E23" s="10" t="n">
        <f aca="false">C23+D23</f>
        <v>462</v>
      </c>
      <c r="F23" s="10" t="str">
        <f aca="false">IF(E23&lt;=$B$9,"是","否")</f>
        <v>否</v>
      </c>
      <c r="G23" s="10" t="n">
        <f aca="false">IF(F23="是",$B$8,0)</f>
        <v>0</v>
      </c>
      <c r="H23" s="10" t="n">
        <f aca="false">MIN(E23,B23)</f>
        <v>19</v>
      </c>
      <c r="I23" s="10" t="n">
        <f aca="false">MAX(0,B23-E23)</f>
        <v>0</v>
      </c>
      <c r="J23" s="10" t="n">
        <f aca="false">E23-H23</f>
        <v>443</v>
      </c>
      <c r="K23" s="10" t="n">
        <f aca="false">J23*$B$10</f>
        <v>9.70958904109589</v>
      </c>
      <c r="L23" s="10" t="n">
        <f aca="false">IF(F23="是",$B$11,0)</f>
        <v>0</v>
      </c>
      <c r="M23" s="10" t="n">
        <f aca="false">I23*$B$12</f>
        <v>0</v>
      </c>
    </row>
    <row r="24" customFormat="false" ht="15" hidden="false" customHeight="false" outlineLevel="0" collapsed="false">
      <c r="A24" s="12" t="n">
        <v>6</v>
      </c>
      <c r="B24" s="10" t="n">
        <f aca="true">ROUND(MAX(0,NORMINV(RAND(),$B$5,$B$6)),0)</f>
        <v>12</v>
      </c>
      <c r="C24" s="10" t="n">
        <f aca="false">J23</f>
        <v>443</v>
      </c>
      <c r="D24" s="10" t="n">
        <f aca="false">IF(ROW()-$B$7&gt;=19,INDEX($G$19:$G$108,ROW()-$B$7-19+1),0)</f>
        <v>0</v>
      </c>
      <c r="E24" s="10" t="n">
        <f aca="false">C24+D24</f>
        <v>443</v>
      </c>
      <c r="F24" s="10" t="str">
        <f aca="false">IF(E24&lt;=$B$9,"是","否")</f>
        <v>否</v>
      </c>
      <c r="G24" s="10" t="n">
        <f aca="false">IF(F24="是",$B$8,0)</f>
        <v>0</v>
      </c>
      <c r="H24" s="10" t="n">
        <f aca="false">MIN(E24,B24)</f>
        <v>12</v>
      </c>
      <c r="I24" s="10" t="n">
        <f aca="false">MAX(0,B24-E24)</f>
        <v>0</v>
      </c>
      <c r="J24" s="10" t="n">
        <f aca="false">E24-H24</f>
        <v>431</v>
      </c>
      <c r="K24" s="10" t="n">
        <f aca="false">J24*$B$10</f>
        <v>9.44657534246575</v>
      </c>
      <c r="L24" s="10" t="n">
        <f aca="false">IF(F24="是",$B$11,0)</f>
        <v>0</v>
      </c>
      <c r="M24" s="10" t="n">
        <f aca="false">I24*$B$12</f>
        <v>0</v>
      </c>
    </row>
    <row r="25" customFormat="false" ht="15" hidden="false" customHeight="false" outlineLevel="0" collapsed="false">
      <c r="A25" s="12" t="n">
        <v>7</v>
      </c>
      <c r="B25" s="10" t="n">
        <f aca="true">ROUND(MAX(0,NORMINV(RAND(),$B$5,$B$6)),0)</f>
        <v>10</v>
      </c>
      <c r="C25" s="10" t="n">
        <f aca="false">J24</f>
        <v>431</v>
      </c>
      <c r="D25" s="10" t="n">
        <f aca="false">IF(ROW()-$B$7&gt;=19,INDEX($G$19:$G$108,ROW()-$B$7-19+1),0)</f>
        <v>0</v>
      </c>
      <c r="E25" s="10" t="n">
        <f aca="false">C25+D25</f>
        <v>431</v>
      </c>
      <c r="F25" s="10" t="str">
        <f aca="false">IF(E25&lt;=$B$9,"是","否")</f>
        <v>否</v>
      </c>
      <c r="G25" s="10" t="n">
        <f aca="false">IF(F25="是",$B$8,0)</f>
        <v>0</v>
      </c>
      <c r="H25" s="10" t="n">
        <f aca="false">MIN(E25,B25)</f>
        <v>10</v>
      </c>
      <c r="I25" s="10" t="n">
        <f aca="false">MAX(0,B25-E25)</f>
        <v>0</v>
      </c>
      <c r="J25" s="10" t="n">
        <f aca="false">E25-H25</f>
        <v>421</v>
      </c>
      <c r="K25" s="10" t="n">
        <f aca="false">J25*$B$10</f>
        <v>9.22739726027397</v>
      </c>
      <c r="L25" s="10" t="n">
        <f aca="false">IF(F25="是",$B$11,0)</f>
        <v>0</v>
      </c>
      <c r="M25" s="10" t="n">
        <f aca="false">I25*$B$12</f>
        <v>0</v>
      </c>
    </row>
    <row r="26" customFormat="false" ht="15" hidden="false" customHeight="false" outlineLevel="0" collapsed="false">
      <c r="A26" s="12" t="n">
        <v>8</v>
      </c>
      <c r="B26" s="10" t="n">
        <f aca="true">ROUND(MAX(0,NORMINV(RAND(),$B$5,$B$6)),0)</f>
        <v>17</v>
      </c>
      <c r="C26" s="10" t="n">
        <f aca="false">J25</f>
        <v>421</v>
      </c>
      <c r="D26" s="10" t="n">
        <f aca="false">IF(ROW()-$B$7&gt;=19,INDEX($G$19:$G$108,ROW()-$B$7-19+1),0)</f>
        <v>0</v>
      </c>
      <c r="E26" s="10" t="n">
        <f aca="false">C26+D26</f>
        <v>421</v>
      </c>
      <c r="F26" s="10" t="str">
        <f aca="false">IF(E26&lt;=$B$9,"是","否")</f>
        <v>否</v>
      </c>
      <c r="G26" s="10" t="n">
        <f aca="false">IF(F26="是",$B$8,0)</f>
        <v>0</v>
      </c>
      <c r="H26" s="10" t="n">
        <f aca="false">MIN(E26,B26)</f>
        <v>17</v>
      </c>
      <c r="I26" s="10" t="n">
        <f aca="false">MAX(0,B26-E26)</f>
        <v>0</v>
      </c>
      <c r="J26" s="10" t="n">
        <f aca="false">E26-H26</f>
        <v>404</v>
      </c>
      <c r="K26" s="10" t="n">
        <f aca="false">J26*$B$10</f>
        <v>8.85479452054794</v>
      </c>
      <c r="L26" s="10" t="n">
        <f aca="false">IF(F26="是",$B$11,0)</f>
        <v>0</v>
      </c>
      <c r="M26" s="10" t="n">
        <f aca="false">I26*$B$12</f>
        <v>0</v>
      </c>
    </row>
    <row r="27" customFormat="false" ht="15" hidden="false" customHeight="false" outlineLevel="0" collapsed="false">
      <c r="A27" s="12" t="n">
        <v>9</v>
      </c>
      <c r="B27" s="10" t="n">
        <f aca="true">ROUND(MAX(0,NORMINV(RAND(),$B$5,$B$6)),0)</f>
        <v>12</v>
      </c>
      <c r="C27" s="10" t="n">
        <f aca="false">J26</f>
        <v>404</v>
      </c>
      <c r="D27" s="10" t="n">
        <f aca="false">IF(ROW()-$B$7&gt;=19,INDEX($G$19:$G$108,ROW()-$B$7-19+1),0)</f>
        <v>0</v>
      </c>
      <c r="E27" s="10" t="n">
        <f aca="false">C27+D27</f>
        <v>404</v>
      </c>
      <c r="F27" s="10" t="str">
        <f aca="false">IF(E27&lt;=$B$9,"是","否")</f>
        <v>否</v>
      </c>
      <c r="G27" s="10" t="n">
        <f aca="false">IF(F27="是",$B$8,0)</f>
        <v>0</v>
      </c>
      <c r="H27" s="10" t="n">
        <f aca="false">MIN(E27,B27)</f>
        <v>12</v>
      </c>
      <c r="I27" s="10" t="n">
        <f aca="false">MAX(0,B27-E27)</f>
        <v>0</v>
      </c>
      <c r="J27" s="10" t="n">
        <f aca="false">E27-H27</f>
        <v>392</v>
      </c>
      <c r="K27" s="10" t="n">
        <f aca="false">J27*$B$10</f>
        <v>8.59178082191781</v>
      </c>
      <c r="L27" s="10" t="n">
        <f aca="false">IF(F27="是",$B$11,0)</f>
        <v>0</v>
      </c>
      <c r="M27" s="10" t="n">
        <f aca="false">I27*$B$12</f>
        <v>0</v>
      </c>
    </row>
    <row r="28" customFormat="false" ht="15" hidden="false" customHeight="false" outlineLevel="0" collapsed="false">
      <c r="A28" s="12" t="n">
        <v>10</v>
      </c>
      <c r="B28" s="10" t="n">
        <f aca="true">ROUND(MAX(0,NORMINV(RAND(),$B$5,$B$6)),0)</f>
        <v>4</v>
      </c>
      <c r="C28" s="10" t="n">
        <f aca="false">J27</f>
        <v>392</v>
      </c>
      <c r="D28" s="10" t="n">
        <f aca="false">IF(ROW()-$B$7&gt;=19,INDEX($G$19:$G$108,ROW()-$B$7-19+1),0)</f>
        <v>0</v>
      </c>
      <c r="E28" s="10" t="n">
        <f aca="false">C28+D28</f>
        <v>392</v>
      </c>
      <c r="F28" s="10" t="str">
        <f aca="false">IF(E28&lt;=$B$9,"是","否")</f>
        <v>否</v>
      </c>
      <c r="G28" s="10" t="n">
        <f aca="false">IF(F28="是",$B$8,0)</f>
        <v>0</v>
      </c>
      <c r="H28" s="10" t="n">
        <f aca="false">MIN(E28,B28)</f>
        <v>4</v>
      </c>
      <c r="I28" s="10" t="n">
        <f aca="false">MAX(0,B28-E28)</f>
        <v>0</v>
      </c>
      <c r="J28" s="10" t="n">
        <f aca="false">E28-H28</f>
        <v>388</v>
      </c>
      <c r="K28" s="10" t="n">
        <f aca="false">J28*$B$10</f>
        <v>8.5041095890411</v>
      </c>
      <c r="L28" s="10" t="n">
        <f aca="false">IF(F28="是",$B$11,0)</f>
        <v>0</v>
      </c>
      <c r="M28" s="10" t="n">
        <f aca="false">I28*$B$12</f>
        <v>0</v>
      </c>
    </row>
    <row r="29" customFormat="false" ht="15" hidden="false" customHeight="false" outlineLevel="0" collapsed="false">
      <c r="A29" s="12" t="n">
        <v>11</v>
      </c>
      <c r="B29" s="10" t="n">
        <f aca="true">ROUND(MAX(0,NORMINV(RAND(),$B$5,$B$6)),0)</f>
        <v>16</v>
      </c>
      <c r="C29" s="10" t="n">
        <f aca="false">J28</f>
        <v>388</v>
      </c>
      <c r="D29" s="10" t="n">
        <f aca="false">IF(ROW()-$B$7&gt;=19,INDEX($G$19:$G$108,ROW()-$B$7-19+1),0)</f>
        <v>0</v>
      </c>
      <c r="E29" s="10" t="n">
        <f aca="false">C29+D29</f>
        <v>388</v>
      </c>
      <c r="F29" s="10" t="str">
        <f aca="false">IF(E29&lt;=$B$9,"是","否")</f>
        <v>否</v>
      </c>
      <c r="G29" s="10" t="n">
        <f aca="false">IF(F29="是",$B$8,0)</f>
        <v>0</v>
      </c>
      <c r="H29" s="10" t="n">
        <f aca="false">MIN(E29,B29)</f>
        <v>16</v>
      </c>
      <c r="I29" s="10" t="n">
        <f aca="false">MAX(0,B29-E29)</f>
        <v>0</v>
      </c>
      <c r="J29" s="10" t="n">
        <f aca="false">E29-H29</f>
        <v>372</v>
      </c>
      <c r="K29" s="10" t="n">
        <f aca="false">J29*$B$10</f>
        <v>8.15342465753425</v>
      </c>
      <c r="L29" s="10" t="n">
        <f aca="false">IF(F29="是",$B$11,0)</f>
        <v>0</v>
      </c>
      <c r="M29" s="10" t="n">
        <f aca="false">I29*$B$12</f>
        <v>0</v>
      </c>
    </row>
    <row r="30" customFormat="false" ht="15" hidden="false" customHeight="false" outlineLevel="0" collapsed="false">
      <c r="A30" s="12" t="n">
        <v>12</v>
      </c>
      <c r="B30" s="10" t="n">
        <f aca="true">ROUND(MAX(0,NORMINV(RAND(),$B$5,$B$6)),0)</f>
        <v>14</v>
      </c>
      <c r="C30" s="10" t="n">
        <f aca="false">J29</f>
        <v>372</v>
      </c>
      <c r="D30" s="10" t="n">
        <f aca="false">IF(ROW()-$B$7&gt;=19,INDEX($G$19:$G$108,ROW()-$B$7-19+1),0)</f>
        <v>0</v>
      </c>
      <c r="E30" s="10" t="n">
        <f aca="false">C30+D30</f>
        <v>372</v>
      </c>
      <c r="F30" s="10" t="str">
        <f aca="false">IF(E30&lt;=$B$9,"是","否")</f>
        <v>否</v>
      </c>
      <c r="G30" s="10" t="n">
        <f aca="false">IF(F30="是",$B$8,0)</f>
        <v>0</v>
      </c>
      <c r="H30" s="10" t="n">
        <f aca="false">MIN(E30,B30)</f>
        <v>14</v>
      </c>
      <c r="I30" s="10" t="n">
        <f aca="false">MAX(0,B30-E30)</f>
        <v>0</v>
      </c>
      <c r="J30" s="10" t="n">
        <f aca="false">E30-H30</f>
        <v>358</v>
      </c>
      <c r="K30" s="10" t="n">
        <f aca="false">J30*$B$10</f>
        <v>7.84657534246575</v>
      </c>
      <c r="L30" s="10" t="n">
        <f aca="false">IF(F30="是",$B$11,0)</f>
        <v>0</v>
      </c>
      <c r="M30" s="10" t="n">
        <f aca="false">I30*$B$12</f>
        <v>0</v>
      </c>
    </row>
    <row r="31" customFormat="false" ht="15" hidden="false" customHeight="false" outlineLevel="0" collapsed="false">
      <c r="A31" s="12" t="n">
        <v>13</v>
      </c>
      <c r="B31" s="10" t="n">
        <f aca="true">ROUND(MAX(0,NORMINV(RAND(),$B$5,$B$6)),0)</f>
        <v>13</v>
      </c>
      <c r="C31" s="10" t="n">
        <f aca="false">J30</f>
        <v>358</v>
      </c>
      <c r="D31" s="10" t="n">
        <f aca="false">IF(ROW()-$B$7&gt;=19,INDEX($G$19:$G$108,ROW()-$B$7-19+1),0)</f>
        <v>0</v>
      </c>
      <c r="E31" s="10" t="n">
        <f aca="false">C31+D31</f>
        <v>358</v>
      </c>
      <c r="F31" s="10" t="str">
        <f aca="false">IF(E31&lt;=$B$9,"是","否")</f>
        <v>否</v>
      </c>
      <c r="G31" s="10" t="n">
        <f aca="false">IF(F31="是",$B$8,0)</f>
        <v>0</v>
      </c>
      <c r="H31" s="10" t="n">
        <f aca="false">MIN(E31,B31)</f>
        <v>13</v>
      </c>
      <c r="I31" s="10" t="n">
        <f aca="false">MAX(0,B31-E31)</f>
        <v>0</v>
      </c>
      <c r="J31" s="10" t="n">
        <f aca="false">E31-H31</f>
        <v>345</v>
      </c>
      <c r="K31" s="10" t="n">
        <f aca="false">J31*$B$10</f>
        <v>7.56164383561644</v>
      </c>
      <c r="L31" s="10" t="n">
        <f aca="false">IF(F31="是",$B$11,0)</f>
        <v>0</v>
      </c>
      <c r="M31" s="10" t="n">
        <f aca="false">I31*$B$12</f>
        <v>0</v>
      </c>
    </row>
    <row r="32" customFormat="false" ht="15" hidden="false" customHeight="false" outlineLevel="0" collapsed="false">
      <c r="A32" s="12" t="n">
        <v>14</v>
      </c>
      <c r="B32" s="10" t="n">
        <f aca="true">ROUND(MAX(0,NORMINV(RAND(),$B$5,$B$6)),0)</f>
        <v>20</v>
      </c>
      <c r="C32" s="10" t="n">
        <f aca="false">J31</f>
        <v>345</v>
      </c>
      <c r="D32" s="10" t="n">
        <f aca="false">IF(ROW()-$B$7&gt;=19,INDEX($G$19:$G$108,ROW()-$B$7-19+1),0)</f>
        <v>0</v>
      </c>
      <c r="E32" s="10" t="n">
        <f aca="false">C32+D32</f>
        <v>345</v>
      </c>
      <c r="F32" s="10" t="str">
        <f aca="false">IF(E32&lt;=$B$9,"是","否")</f>
        <v>否</v>
      </c>
      <c r="G32" s="10" t="n">
        <f aca="false">IF(F32="是",$B$8,0)</f>
        <v>0</v>
      </c>
      <c r="H32" s="10" t="n">
        <f aca="false">MIN(E32,B32)</f>
        <v>20</v>
      </c>
      <c r="I32" s="10" t="n">
        <f aca="false">MAX(0,B32-E32)</f>
        <v>0</v>
      </c>
      <c r="J32" s="10" t="n">
        <f aca="false">E32-H32</f>
        <v>325</v>
      </c>
      <c r="K32" s="10" t="n">
        <f aca="false">J32*$B$10</f>
        <v>7.12328767123288</v>
      </c>
      <c r="L32" s="10" t="n">
        <f aca="false">IF(F32="是",$B$11,0)</f>
        <v>0</v>
      </c>
      <c r="M32" s="10" t="n">
        <f aca="false">I32*$B$12</f>
        <v>0</v>
      </c>
    </row>
    <row r="33" customFormat="false" ht="15" hidden="false" customHeight="false" outlineLevel="0" collapsed="false">
      <c r="A33" s="12" t="n">
        <v>15</v>
      </c>
      <c r="B33" s="10" t="n">
        <f aca="true">ROUND(MAX(0,NORMINV(RAND(),$B$5,$B$6)),0)</f>
        <v>13</v>
      </c>
      <c r="C33" s="10" t="n">
        <f aca="false">J32</f>
        <v>325</v>
      </c>
      <c r="D33" s="10" t="n">
        <f aca="false">IF(ROW()-$B$7&gt;=19,INDEX($G$19:$G$108,ROW()-$B$7-19+1),0)</f>
        <v>0</v>
      </c>
      <c r="E33" s="10" t="n">
        <f aca="false">C33+D33</f>
        <v>325</v>
      </c>
      <c r="F33" s="10" t="str">
        <f aca="false">IF(E33&lt;=$B$9,"是","否")</f>
        <v>否</v>
      </c>
      <c r="G33" s="10" t="n">
        <f aca="false">IF(F33="是",$B$8,0)</f>
        <v>0</v>
      </c>
      <c r="H33" s="10" t="n">
        <f aca="false">MIN(E33,B33)</f>
        <v>13</v>
      </c>
      <c r="I33" s="10" t="n">
        <f aca="false">MAX(0,B33-E33)</f>
        <v>0</v>
      </c>
      <c r="J33" s="10" t="n">
        <f aca="false">E33-H33</f>
        <v>312</v>
      </c>
      <c r="K33" s="10" t="n">
        <f aca="false">J33*$B$10</f>
        <v>6.83835616438356</v>
      </c>
      <c r="L33" s="10" t="n">
        <f aca="false">IF(F33="是",$B$11,0)</f>
        <v>0</v>
      </c>
      <c r="M33" s="10" t="n">
        <f aca="false">I33*$B$12</f>
        <v>0</v>
      </c>
    </row>
    <row r="34" customFormat="false" ht="15" hidden="false" customHeight="false" outlineLevel="0" collapsed="false">
      <c r="A34" s="12" t="n">
        <v>16</v>
      </c>
      <c r="B34" s="10" t="n">
        <f aca="true">ROUND(MAX(0,NORMINV(RAND(),$B$5,$B$6)),0)</f>
        <v>15</v>
      </c>
      <c r="C34" s="10" t="n">
        <f aca="false">J33</f>
        <v>312</v>
      </c>
      <c r="D34" s="10" t="n">
        <f aca="false">IF(ROW()-$B$7&gt;=19,INDEX($G$19:$G$108,ROW()-$B$7-19+1),0)</f>
        <v>0</v>
      </c>
      <c r="E34" s="10" t="n">
        <f aca="false">C34+D34</f>
        <v>312</v>
      </c>
      <c r="F34" s="10" t="str">
        <f aca="false">IF(E34&lt;=$B$9,"是","否")</f>
        <v>否</v>
      </c>
      <c r="G34" s="10" t="n">
        <f aca="false">IF(F34="是",$B$8,0)</f>
        <v>0</v>
      </c>
      <c r="H34" s="10" t="n">
        <f aca="false">MIN(E34,B34)</f>
        <v>15</v>
      </c>
      <c r="I34" s="10" t="n">
        <f aca="false">MAX(0,B34-E34)</f>
        <v>0</v>
      </c>
      <c r="J34" s="10" t="n">
        <f aca="false">E34-H34</f>
        <v>297</v>
      </c>
      <c r="K34" s="10" t="n">
        <f aca="false">J34*$B$10</f>
        <v>6.50958904109589</v>
      </c>
      <c r="L34" s="10" t="n">
        <f aca="false">IF(F34="是",$B$11,0)</f>
        <v>0</v>
      </c>
      <c r="M34" s="10" t="n">
        <f aca="false">I34*$B$12</f>
        <v>0</v>
      </c>
    </row>
    <row r="35" customFormat="false" ht="15" hidden="false" customHeight="false" outlineLevel="0" collapsed="false">
      <c r="A35" s="12" t="n">
        <v>17</v>
      </c>
      <c r="B35" s="10" t="n">
        <f aca="true">ROUND(MAX(0,NORMINV(RAND(),$B$5,$B$6)),0)</f>
        <v>16</v>
      </c>
      <c r="C35" s="10" t="n">
        <f aca="false">J34</f>
        <v>297</v>
      </c>
      <c r="D35" s="10" t="n">
        <f aca="false">IF(ROW()-$B$7&gt;=19,INDEX($G$19:$G$108,ROW()-$B$7-19+1),0)</f>
        <v>0</v>
      </c>
      <c r="E35" s="10" t="n">
        <f aca="false">C35+D35</f>
        <v>297</v>
      </c>
      <c r="F35" s="10" t="str">
        <f aca="false">IF(E35&lt;=$B$9,"是","否")</f>
        <v>否</v>
      </c>
      <c r="G35" s="10" t="n">
        <f aca="false">IF(F35="是",$B$8,0)</f>
        <v>0</v>
      </c>
      <c r="H35" s="10" t="n">
        <f aca="false">MIN(E35,B35)</f>
        <v>16</v>
      </c>
      <c r="I35" s="10" t="n">
        <f aca="false">MAX(0,B35-E35)</f>
        <v>0</v>
      </c>
      <c r="J35" s="10" t="n">
        <f aca="false">E35-H35</f>
        <v>281</v>
      </c>
      <c r="K35" s="10" t="n">
        <f aca="false">J35*$B$10</f>
        <v>6.15890410958904</v>
      </c>
      <c r="L35" s="10" t="n">
        <f aca="false">IF(F35="是",$B$11,0)</f>
        <v>0</v>
      </c>
      <c r="M35" s="10" t="n">
        <f aca="false">I35*$B$12</f>
        <v>0</v>
      </c>
    </row>
    <row r="36" customFormat="false" ht="15" hidden="false" customHeight="false" outlineLevel="0" collapsed="false">
      <c r="A36" s="12" t="n">
        <v>18</v>
      </c>
      <c r="B36" s="10" t="n">
        <f aca="true">ROUND(MAX(0,NORMINV(RAND(),$B$5,$B$6)),0)</f>
        <v>23</v>
      </c>
      <c r="C36" s="10" t="n">
        <f aca="false">J35</f>
        <v>281</v>
      </c>
      <c r="D36" s="10" t="n">
        <f aca="false">IF(ROW()-$B$7&gt;=19,INDEX($G$19:$G$108,ROW()-$B$7-19+1),0)</f>
        <v>0</v>
      </c>
      <c r="E36" s="10" t="n">
        <f aca="false">C36+D36</f>
        <v>281</v>
      </c>
      <c r="F36" s="10" t="str">
        <f aca="false">IF(E36&lt;=$B$9,"是","否")</f>
        <v>否</v>
      </c>
      <c r="G36" s="10" t="n">
        <f aca="false">IF(F36="是",$B$8,0)</f>
        <v>0</v>
      </c>
      <c r="H36" s="10" t="n">
        <f aca="false">MIN(E36,B36)</f>
        <v>23</v>
      </c>
      <c r="I36" s="10" t="n">
        <f aca="false">MAX(0,B36-E36)</f>
        <v>0</v>
      </c>
      <c r="J36" s="10" t="n">
        <f aca="false">E36-H36</f>
        <v>258</v>
      </c>
      <c r="K36" s="10" t="n">
        <f aca="false">J36*$B$10</f>
        <v>5.65479452054794</v>
      </c>
      <c r="L36" s="10" t="n">
        <f aca="false">IF(F36="是",$B$11,0)</f>
        <v>0</v>
      </c>
      <c r="M36" s="10" t="n">
        <f aca="false">I36*$B$12</f>
        <v>0</v>
      </c>
    </row>
    <row r="37" customFormat="false" ht="15" hidden="false" customHeight="false" outlineLevel="0" collapsed="false">
      <c r="A37" s="12" t="n">
        <v>19</v>
      </c>
      <c r="B37" s="10" t="n">
        <f aca="true">ROUND(MAX(0,NORMINV(RAND(),$B$5,$B$6)),0)</f>
        <v>13</v>
      </c>
      <c r="C37" s="10" t="n">
        <f aca="false">J36</f>
        <v>258</v>
      </c>
      <c r="D37" s="10" t="n">
        <f aca="false">IF(ROW()-$B$7&gt;=19,INDEX($G$19:$G$108,ROW()-$B$7-19+1),0)</f>
        <v>0</v>
      </c>
      <c r="E37" s="10" t="n">
        <f aca="false">C37+D37</f>
        <v>258</v>
      </c>
      <c r="F37" s="10" t="str">
        <f aca="false">IF(E37&lt;=$B$9,"是","否")</f>
        <v>否</v>
      </c>
      <c r="G37" s="10" t="n">
        <f aca="false">IF(F37="是",$B$8,0)</f>
        <v>0</v>
      </c>
      <c r="H37" s="10" t="n">
        <f aca="false">MIN(E37,B37)</f>
        <v>13</v>
      </c>
      <c r="I37" s="10" t="n">
        <f aca="false">MAX(0,B37-E37)</f>
        <v>0</v>
      </c>
      <c r="J37" s="10" t="n">
        <f aca="false">E37-H37</f>
        <v>245</v>
      </c>
      <c r="K37" s="10" t="n">
        <f aca="false">J37*$B$10</f>
        <v>5.36986301369863</v>
      </c>
      <c r="L37" s="10" t="n">
        <f aca="false">IF(F37="是",$B$11,0)</f>
        <v>0</v>
      </c>
      <c r="M37" s="10" t="n">
        <f aca="false">I37*$B$12</f>
        <v>0</v>
      </c>
    </row>
    <row r="38" customFormat="false" ht="15" hidden="false" customHeight="false" outlineLevel="0" collapsed="false">
      <c r="A38" s="12" t="n">
        <v>20</v>
      </c>
      <c r="B38" s="10" t="n">
        <f aca="true">ROUND(MAX(0,NORMINV(RAND(),$B$5,$B$6)),0)</f>
        <v>11</v>
      </c>
      <c r="C38" s="10" t="n">
        <f aca="false">J37</f>
        <v>245</v>
      </c>
      <c r="D38" s="10" t="n">
        <f aca="false">IF(ROW()-$B$7&gt;=19,INDEX($G$19:$G$108,ROW()-$B$7-19+1),0)</f>
        <v>0</v>
      </c>
      <c r="E38" s="10" t="n">
        <f aca="false">C38+D38</f>
        <v>245</v>
      </c>
      <c r="F38" s="10" t="str">
        <f aca="false">IF(E38&lt;=$B$9,"是","否")</f>
        <v>否</v>
      </c>
      <c r="G38" s="10" t="n">
        <f aca="false">IF(F38="是",$B$8,0)</f>
        <v>0</v>
      </c>
      <c r="H38" s="10" t="n">
        <f aca="false">MIN(E38,B38)</f>
        <v>11</v>
      </c>
      <c r="I38" s="10" t="n">
        <f aca="false">MAX(0,B38-E38)</f>
        <v>0</v>
      </c>
      <c r="J38" s="10" t="n">
        <f aca="false">E38-H38</f>
        <v>234</v>
      </c>
      <c r="K38" s="10" t="n">
        <f aca="false">J38*$B$10</f>
        <v>5.12876712328767</v>
      </c>
      <c r="L38" s="10" t="n">
        <f aca="false">IF(F38="是",$B$11,0)</f>
        <v>0</v>
      </c>
      <c r="M38" s="10" t="n">
        <f aca="false">I38*$B$12</f>
        <v>0</v>
      </c>
    </row>
    <row r="39" customFormat="false" ht="15" hidden="false" customHeight="false" outlineLevel="0" collapsed="false">
      <c r="A39" s="12" t="n">
        <v>21</v>
      </c>
      <c r="B39" s="10" t="n">
        <f aca="true">ROUND(MAX(0,NORMINV(RAND(),$B$5,$B$6)),0)</f>
        <v>17</v>
      </c>
      <c r="C39" s="10" t="n">
        <f aca="false">J38</f>
        <v>234</v>
      </c>
      <c r="D39" s="10" t="n">
        <f aca="false">IF(ROW()-$B$7&gt;=19,INDEX($G$19:$G$108,ROW()-$B$7-19+1),0)</f>
        <v>0</v>
      </c>
      <c r="E39" s="10" t="n">
        <f aca="false">C39+D39</f>
        <v>234</v>
      </c>
      <c r="F39" s="10" t="str">
        <f aca="false">IF(E39&lt;=$B$9,"是","否")</f>
        <v>否</v>
      </c>
      <c r="G39" s="10" t="n">
        <f aca="false">IF(F39="是",$B$8,0)</f>
        <v>0</v>
      </c>
      <c r="H39" s="10" t="n">
        <f aca="false">MIN(E39,B39)</f>
        <v>17</v>
      </c>
      <c r="I39" s="10" t="n">
        <f aca="false">MAX(0,B39-E39)</f>
        <v>0</v>
      </c>
      <c r="J39" s="10" t="n">
        <f aca="false">E39-H39</f>
        <v>217</v>
      </c>
      <c r="K39" s="10" t="n">
        <f aca="false">J39*$B$10</f>
        <v>4.75616438356164</v>
      </c>
      <c r="L39" s="10" t="n">
        <f aca="false">IF(F39="是",$B$11,0)</f>
        <v>0</v>
      </c>
      <c r="M39" s="10" t="n">
        <f aca="false">I39*$B$12</f>
        <v>0</v>
      </c>
    </row>
    <row r="40" customFormat="false" ht="15" hidden="false" customHeight="false" outlineLevel="0" collapsed="false">
      <c r="A40" s="12" t="n">
        <v>22</v>
      </c>
      <c r="B40" s="10" t="n">
        <f aca="true">ROUND(MAX(0,NORMINV(RAND(),$B$5,$B$6)),0)</f>
        <v>18</v>
      </c>
      <c r="C40" s="10" t="n">
        <f aca="false">J39</f>
        <v>217</v>
      </c>
      <c r="D40" s="10" t="n">
        <f aca="false">IF(ROW()-$B$7&gt;=19,INDEX($G$19:$G$108,ROW()-$B$7-19+1),0)</f>
        <v>0</v>
      </c>
      <c r="E40" s="10" t="n">
        <f aca="false">C40+D40</f>
        <v>217</v>
      </c>
      <c r="F40" s="10" t="str">
        <f aca="false">IF(E40&lt;=$B$9,"是","否")</f>
        <v>否</v>
      </c>
      <c r="G40" s="10" t="n">
        <f aca="false">IF(F40="是",$B$8,0)</f>
        <v>0</v>
      </c>
      <c r="H40" s="10" t="n">
        <f aca="false">MIN(E40,B40)</f>
        <v>18</v>
      </c>
      <c r="I40" s="10" t="n">
        <f aca="false">MAX(0,B40-E40)</f>
        <v>0</v>
      </c>
      <c r="J40" s="10" t="n">
        <f aca="false">E40-H40</f>
        <v>199</v>
      </c>
      <c r="K40" s="10" t="n">
        <f aca="false">J40*$B$10</f>
        <v>4.36164383561644</v>
      </c>
      <c r="L40" s="10" t="n">
        <f aca="false">IF(F40="是",$B$11,0)</f>
        <v>0</v>
      </c>
      <c r="M40" s="10" t="n">
        <f aca="false">I40*$B$12</f>
        <v>0</v>
      </c>
    </row>
    <row r="41" customFormat="false" ht="15" hidden="false" customHeight="false" outlineLevel="0" collapsed="false">
      <c r="A41" s="12" t="n">
        <v>23</v>
      </c>
      <c r="B41" s="10" t="n">
        <f aca="true">ROUND(MAX(0,NORMINV(RAND(),$B$5,$B$6)),0)</f>
        <v>16</v>
      </c>
      <c r="C41" s="10" t="n">
        <f aca="false">J40</f>
        <v>199</v>
      </c>
      <c r="D41" s="10" t="n">
        <f aca="false">IF(ROW()-$B$7&gt;=19,INDEX($G$19:$G$108,ROW()-$B$7-19+1),0)</f>
        <v>0</v>
      </c>
      <c r="E41" s="10" t="n">
        <f aca="false">C41+D41</f>
        <v>199</v>
      </c>
      <c r="F41" s="10" t="str">
        <f aca="false">IF(E41&lt;=$B$9,"是","否")</f>
        <v>否</v>
      </c>
      <c r="G41" s="10" t="n">
        <f aca="false">IF(F41="是",$B$8,0)</f>
        <v>0</v>
      </c>
      <c r="H41" s="10" t="n">
        <f aca="false">MIN(E41,B41)</f>
        <v>16</v>
      </c>
      <c r="I41" s="10" t="n">
        <f aca="false">MAX(0,B41-E41)</f>
        <v>0</v>
      </c>
      <c r="J41" s="10" t="n">
        <f aca="false">E41-H41</f>
        <v>183</v>
      </c>
      <c r="K41" s="10" t="n">
        <f aca="false">J41*$B$10</f>
        <v>4.01095890410959</v>
      </c>
      <c r="L41" s="10" t="n">
        <f aca="false">IF(F41="是",$B$11,0)</f>
        <v>0</v>
      </c>
      <c r="M41" s="10" t="n">
        <f aca="false">I41*$B$12</f>
        <v>0</v>
      </c>
    </row>
    <row r="42" customFormat="false" ht="15" hidden="false" customHeight="false" outlineLevel="0" collapsed="false">
      <c r="A42" s="12" t="n">
        <v>24</v>
      </c>
      <c r="B42" s="10" t="n">
        <f aca="true">ROUND(MAX(0,NORMINV(RAND(),$B$5,$B$6)),0)</f>
        <v>13</v>
      </c>
      <c r="C42" s="10" t="n">
        <f aca="false">J41</f>
        <v>183</v>
      </c>
      <c r="D42" s="10" t="n">
        <f aca="false">IF(ROW()-$B$7&gt;=19,INDEX($G$19:$G$108,ROW()-$B$7-19+1),0)</f>
        <v>0</v>
      </c>
      <c r="E42" s="10" t="n">
        <f aca="false">C42+D42</f>
        <v>183</v>
      </c>
      <c r="F42" s="10" t="str">
        <f aca="false">IF(E42&lt;=$B$9,"是","否")</f>
        <v>否</v>
      </c>
      <c r="G42" s="10" t="n">
        <f aca="false">IF(F42="是",$B$8,0)</f>
        <v>0</v>
      </c>
      <c r="H42" s="10" t="n">
        <f aca="false">MIN(E42,B42)</f>
        <v>13</v>
      </c>
      <c r="I42" s="10" t="n">
        <f aca="false">MAX(0,B42-E42)</f>
        <v>0</v>
      </c>
      <c r="J42" s="10" t="n">
        <f aca="false">E42-H42</f>
        <v>170</v>
      </c>
      <c r="K42" s="10" t="n">
        <f aca="false">J42*$B$10</f>
        <v>3.72602739726027</v>
      </c>
      <c r="L42" s="10" t="n">
        <f aca="false">IF(F42="是",$B$11,0)</f>
        <v>0</v>
      </c>
      <c r="M42" s="10" t="n">
        <f aca="false">I42*$B$12</f>
        <v>0</v>
      </c>
    </row>
    <row r="43" customFormat="false" ht="15" hidden="false" customHeight="false" outlineLevel="0" collapsed="false">
      <c r="A43" s="12" t="n">
        <v>25</v>
      </c>
      <c r="B43" s="10" t="n">
        <f aca="true">ROUND(MAX(0,NORMINV(RAND(),$B$5,$B$6)),0)</f>
        <v>18</v>
      </c>
      <c r="C43" s="10" t="n">
        <f aca="false">J42</f>
        <v>170</v>
      </c>
      <c r="D43" s="10" t="n">
        <f aca="false">IF(ROW()-$B$7&gt;=19,INDEX($G$19:$G$108,ROW()-$B$7-19+1),0)</f>
        <v>0</v>
      </c>
      <c r="E43" s="10" t="n">
        <f aca="false">C43+D43</f>
        <v>170</v>
      </c>
      <c r="F43" s="10" t="str">
        <f aca="false">IF(E43&lt;=$B$9,"是","否")</f>
        <v>否</v>
      </c>
      <c r="G43" s="10" t="n">
        <f aca="false">IF(F43="是",$B$8,0)</f>
        <v>0</v>
      </c>
      <c r="H43" s="10" t="n">
        <f aca="false">MIN(E43,B43)</f>
        <v>18</v>
      </c>
      <c r="I43" s="10" t="n">
        <f aca="false">MAX(0,B43-E43)</f>
        <v>0</v>
      </c>
      <c r="J43" s="10" t="n">
        <f aca="false">E43-H43</f>
        <v>152</v>
      </c>
      <c r="K43" s="10" t="n">
        <f aca="false">J43*$B$10</f>
        <v>3.33150684931507</v>
      </c>
      <c r="L43" s="10" t="n">
        <f aca="false">IF(F43="是",$B$11,0)</f>
        <v>0</v>
      </c>
      <c r="M43" s="10" t="n">
        <f aca="false">I43*$B$12</f>
        <v>0</v>
      </c>
    </row>
    <row r="44" customFormat="false" ht="15" hidden="false" customHeight="false" outlineLevel="0" collapsed="false">
      <c r="A44" s="12" t="n">
        <v>26</v>
      </c>
      <c r="B44" s="10" t="n">
        <f aca="true">ROUND(MAX(0,NORMINV(RAND(),$B$5,$B$6)),0)</f>
        <v>23</v>
      </c>
      <c r="C44" s="10" t="n">
        <f aca="false">J43</f>
        <v>152</v>
      </c>
      <c r="D44" s="10" t="n">
        <f aca="false">IF(ROW()-$B$7&gt;=19,INDEX($G$19:$G$108,ROW()-$B$7-19+1),0)</f>
        <v>0</v>
      </c>
      <c r="E44" s="10" t="n">
        <f aca="false">C44+D44</f>
        <v>152</v>
      </c>
      <c r="F44" s="10" t="str">
        <f aca="false">IF(E44&lt;=$B$9,"是","否")</f>
        <v>否</v>
      </c>
      <c r="G44" s="10" t="n">
        <f aca="false">IF(F44="是",$B$8,0)</f>
        <v>0</v>
      </c>
      <c r="H44" s="10" t="n">
        <f aca="false">MIN(E44,B44)</f>
        <v>23</v>
      </c>
      <c r="I44" s="10" t="n">
        <f aca="false">MAX(0,B44-E44)</f>
        <v>0</v>
      </c>
      <c r="J44" s="10" t="n">
        <f aca="false">E44-H44</f>
        <v>129</v>
      </c>
      <c r="K44" s="10" t="n">
        <f aca="false">J44*$B$10</f>
        <v>2.82739726027397</v>
      </c>
      <c r="L44" s="10" t="n">
        <f aca="false">IF(F44="是",$B$11,0)</f>
        <v>0</v>
      </c>
      <c r="M44" s="10" t="n">
        <f aca="false">I44*$B$12</f>
        <v>0</v>
      </c>
    </row>
    <row r="45" customFormat="false" ht="15" hidden="false" customHeight="false" outlineLevel="0" collapsed="false">
      <c r="A45" s="12" t="n">
        <v>27</v>
      </c>
      <c r="B45" s="10" t="n">
        <f aca="true">ROUND(MAX(0,NORMINV(RAND(),$B$5,$B$6)),0)</f>
        <v>21</v>
      </c>
      <c r="C45" s="10" t="n">
        <f aca="false">J44</f>
        <v>129</v>
      </c>
      <c r="D45" s="10" t="n">
        <f aca="false">IF(ROW()-$B$7&gt;=19,INDEX($G$19:$G$108,ROW()-$B$7-19+1),0)</f>
        <v>0</v>
      </c>
      <c r="E45" s="10" t="n">
        <f aca="false">C45+D45</f>
        <v>129</v>
      </c>
      <c r="F45" s="10" t="str">
        <f aca="false">IF(E45&lt;=$B$9,"是","否")</f>
        <v>否</v>
      </c>
      <c r="G45" s="10" t="n">
        <f aca="false">IF(F45="是",$B$8,0)</f>
        <v>0</v>
      </c>
      <c r="H45" s="10" t="n">
        <f aca="false">MIN(E45,B45)</f>
        <v>21</v>
      </c>
      <c r="I45" s="10" t="n">
        <f aca="false">MAX(0,B45-E45)</f>
        <v>0</v>
      </c>
      <c r="J45" s="10" t="n">
        <f aca="false">E45-H45</f>
        <v>108</v>
      </c>
      <c r="K45" s="10" t="n">
        <f aca="false">J45*$B$10</f>
        <v>2.36712328767123</v>
      </c>
      <c r="L45" s="10" t="n">
        <f aca="false">IF(F45="是",$B$11,0)</f>
        <v>0</v>
      </c>
      <c r="M45" s="10" t="n">
        <f aca="false">I45*$B$12</f>
        <v>0</v>
      </c>
    </row>
    <row r="46" customFormat="false" ht="15" hidden="false" customHeight="false" outlineLevel="0" collapsed="false">
      <c r="A46" s="12" t="n">
        <v>28</v>
      </c>
      <c r="B46" s="10" t="n">
        <f aca="true">ROUND(MAX(0,NORMINV(RAND(),$B$5,$B$6)),0)</f>
        <v>15</v>
      </c>
      <c r="C46" s="10" t="n">
        <f aca="false">J45</f>
        <v>108</v>
      </c>
      <c r="D46" s="10" t="n">
        <f aca="false">IF(ROW()-$B$7&gt;=19,INDEX($G$19:$G$108,ROW()-$B$7-19+1),0)</f>
        <v>0</v>
      </c>
      <c r="E46" s="10" t="n">
        <f aca="false">C46+D46</f>
        <v>108</v>
      </c>
      <c r="F46" s="10" t="str">
        <f aca="false">IF(E46&lt;=$B$9,"是","否")</f>
        <v>否</v>
      </c>
      <c r="G46" s="10" t="n">
        <f aca="false">IF(F46="是",$B$8,0)</f>
        <v>0</v>
      </c>
      <c r="H46" s="10" t="n">
        <f aca="false">MIN(E46,B46)</f>
        <v>15</v>
      </c>
      <c r="I46" s="10" t="n">
        <f aca="false">MAX(0,B46-E46)</f>
        <v>0</v>
      </c>
      <c r="J46" s="10" t="n">
        <f aca="false">E46-H46</f>
        <v>93</v>
      </c>
      <c r="K46" s="10" t="n">
        <f aca="false">J46*$B$10</f>
        <v>2.03835616438356</v>
      </c>
      <c r="L46" s="10" t="n">
        <f aca="false">IF(F46="是",$B$11,0)</f>
        <v>0</v>
      </c>
      <c r="M46" s="10" t="n">
        <f aca="false">I46*$B$12</f>
        <v>0</v>
      </c>
    </row>
    <row r="47" customFormat="false" ht="15" hidden="false" customHeight="false" outlineLevel="0" collapsed="false">
      <c r="A47" s="12" t="n">
        <v>29</v>
      </c>
      <c r="B47" s="10" t="n">
        <f aca="true">ROUND(MAX(0,NORMINV(RAND(),$B$5,$B$6)),0)</f>
        <v>6</v>
      </c>
      <c r="C47" s="10" t="n">
        <f aca="false">J46</f>
        <v>93</v>
      </c>
      <c r="D47" s="10" t="n">
        <f aca="false">IF(ROW()-$B$7&gt;=19,INDEX($G$19:$G$108,ROW()-$B$7-19+1),0)</f>
        <v>0</v>
      </c>
      <c r="E47" s="10" t="n">
        <f aca="false">C47+D47</f>
        <v>93</v>
      </c>
      <c r="F47" s="10" t="str">
        <f aca="false">IF(E47&lt;=$B$9,"是","否")</f>
        <v>是</v>
      </c>
      <c r="G47" s="10" t="n">
        <f aca="false">IF(F47="是",$B$8,0)</f>
        <v>424</v>
      </c>
      <c r="H47" s="10" t="n">
        <f aca="false">MIN(E47,B47)</f>
        <v>6</v>
      </c>
      <c r="I47" s="10" t="n">
        <f aca="false">MAX(0,B47-E47)</f>
        <v>0</v>
      </c>
      <c r="J47" s="10" t="n">
        <f aca="false">E47-H47</f>
        <v>87</v>
      </c>
      <c r="K47" s="10" t="n">
        <f aca="false">J47*$B$10</f>
        <v>1.90684931506849</v>
      </c>
      <c r="L47" s="10" t="n">
        <f aca="false">IF(F47="是",$B$11,0)</f>
        <v>150</v>
      </c>
      <c r="M47" s="10" t="n">
        <f aca="false">I47*$B$12</f>
        <v>0</v>
      </c>
    </row>
    <row r="48" customFormat="false" ht="15" hidden="false" customHeight="false" outlineLevel="0" collapsed="false">
      <c r="A48" s="12" t="n">
        <v>30</v>
      </c>
      <c r="B48" s="10" t="n">
        <f aca="true">ROUND(MAX(0,NORMINV(RAND(),$B$5,$B$6)),0)</f>
        <v>12</v>
      </c>
      <c r="C48" s="10" t="n">
        <f aca="false">J47</f>
        <v>87</v>
      </c>
      <c r="D48" s="10" t="n">
        <f aca="false">IF(ROW()-$B$7&gt;=19,INDEX($G$19:$G$108,ROW()-$B$7-19+1),0)</f>
        <v>0</v>
      </c>
      <c r="E48" s="10" t="n">
        <f aca="false">C48+D48</f>
        <v>87</v>
      </c>
      <c r="F48" s="10" t="str">
        <f aca="false">IF(E48&lt;=$B$9,"是","否")</f>
        <v>是</v>
      </c>
      <c r="G48" s="10" t="n">
        <f aca="false">IF(F48="是",$B$8,0)</f>
        <v>424</v>
      </c>
      <c r="H48" s="10" t="n">
        <f aca="false">MIN(E48,B48)</f>
        <v>12</v>
      </c>
      <c r="I48" s="10" t="n">
        <f aca="false">MAX(0,B48-E48)</f>
        <v>0</v>
      </c>
      <c r="J48" s="10" t="n">
        <f aca="false">E48-H48</f>
        <v>75</v>
      </c>
      <c r="K48" s="10" t="n">
        <f aca="false">J48*$B$10</f>
        <v>1.64383561643836</v>
      </c>
      <c r="L48" s="10" t="n">
        <f aca="false">IF(F48="是",$B$11,0)</f>
        <v>150</v>
      </c>
      <c r="M48" s="10" t="n">
        <f aca="false">I48*$B$12</f>
        <v>0</v>
      </c>
    </row>
    <row r="49" customFormat="false" ht="15" hidden="false" customHeight="false" outlineLevel="0" collapsed="false">
      <c r="A49" s="12" t="n">
        <v>31</v>
      </c>
      <c r="B49" s="10" t="n">
        <f aca="true">ROUND(MAX(0,NORMINV(RAND(),$B$5,$B$6)),0)</f>
        <v>14</v>
      </c>
      <c r="C49" s="10" t="n">
        <f aca="false">J48</f>
        <v>75</v>
      </c>
      <c r="D49" s="10" t="n">
        <f aca="false">IF(ROW()-$B$7&gt;=19,INDEX($G$19:$G$108,ROW()-$B$7-19+1),0)</f>
        <v>0</v>
      </c>
      <c r="E49" s="10" t="n">
        <f aca="false">C49+D49</f>
        <v>75</v>
      </c>
      <c r="F49" s="10" t="str">
        <f aca="false">IF(E49&lt;=$B$9,"是","否")</f>
        <v>是</v>
      </c>
      <c r="G49" s="10" t="n">
        <f aca="false">IF(F49="是",$B$8,0)</f>
        <v>424</v>
      </c>
      <c r="H49" s="10" t="n">
        <f aca="false">MIN(E49,B49)</f>
        <v>14</v>
      </c>
      <c r="I49" s="10" t="n">
        <f aca="false">MAX(0,B49-E49)</f>
        <v>0</v>
      </c>
      <c r="J49" s="10" t="n">
        <f aca="false">E49-H49</f>
        <v>61</v>
      </c>
      <c r="K49" s="10" t="n">
        <f aca="false">J49*$B$10</f>
        <v>1.33698630136986</v>
      </c>
      <c r="L49" s="10" t="n">
        <f aca="false">IF(F49="是",$B$11,0)</f>
        <v>150</v>
      </c>
      <c r="M49" s="10" t="n">
        <f aca="false">I49*$B$12</f>
        <v>0</v>
      </c>
    </row>
    <row r="50" customFormat="false" ht="15" hidden="false" customHeight="false" outlineLevel="0" collapsed="false">
      <c r="A50" s="12" t="n">
        <v>32</v>
      </c>
      <c r="B50" s="10" t="n">
        <f aca="true">ROUND(MAX(0,NORMINV(RAND(),$B$5,$B$6)),0)</f>
        <v>20</v>
      </c>
      <c r="C50" s="10" t="n">
        <f aca="false">J49</f>
        <v>61</v>
      </c>
      <c r="D50" s="10" t="n">
        <f aca="false">IF(ROW()-$B$7&gt;=19,INDEX($G$19:$G$108,ROW()-$B$7-19+1),0)</f>
        <v>0</v>
      </c>
      <c r="E50" s="10" t="n">
        <f aca="false">C50+D50</f>
        <v>61</v>
      </c>
      <c r="F50" s="10" t="str">
        <f aca="false">IF(E50&lt;=$B$9,"是","否")</f>
        <v>是</v>
      </c>
      <c r="G50" s="10" t="n">
        <f aca="false">IF(F50="是",$B$8,0)</f>
        <v>424</v>
      </c>
      <c r="H50" s="10" t="n">
        <f aca="false">MIN(E50,B50)</f>
        <v>20</v>
      </c>
      <c r="I50" s="10" t="n">
        <f aca="false">MAX(0,B50-E50)</f>
        <v>0</v>
      </c>
      <c r="J50" s="10" t="n">
        <f aca="false">E50-H50</f>
        <v>41</v>
      </c>
      <c r="K50" s="10" t="n">
        <f aca="false">J50*$B$10</f>
        <v>0.898630136986301</v>
      </c>
      <c r="L50" s="10" t="n">
        <f aca="false">IF(F50="是",$B$11,0)</f>
        <v>150</v>
      </c>
      <c r="M50" s="10" t="n">
        <f aca="false">I50*$B$12</f>
        <v>0</v>
      </c>
    </row>
    <row r="51" customFormat="false" ht="15" hidden="false" customHeight="false" outlineLevel="0" collapsed="false">
      <c r="A51" s="12" t="n">
        <v>33</v>
      </c>
      <c r="B51" s="10" t="n">
        <f aca="true">ROUND(MAX(0,NORMINV(RAND(),$B$5,$B$6)),0)</f>
        <v>15</v>
      </c>
      <c r="C51" s="10" t="n">
        <f aca="false">J50</f>
        <v>41</v>
      </c>
      <c r="D51" s="10" t="n">
        <f aca="false">IF(ROW()-$B$7&gt;=19,INDEX($G$19:$G$108,ROW()-$B$7-19+1),0)</f>
        <v>0</v>
      </c>
      <c r="E51" s="10" t="n">
        <f aca="false">C51+D51</f>
        <v>41</v>
      </c>
      <c r="F51" s="10" t="str">
        <f aca="false">IF(E51&lt;=$B$9,"是","否")</f>
        <v>是</v>
      </c>
      <c r="G51" s="10" t="n">
        <f aca="false">IF(F51="是",$B$8,0)</f>
        <v>424</v>
      </c>
      <c r="H51" s="10" t="n">
        <f aca="false">MIN(E51,B51)</f>
        <v>15</v>
      </c>
      <c r="I51" s="10" t="n">
        <f aca="false">MAX(0,B51-E51)</f>
        <v>0</v>
      </c>
      <c r="J51" s="10" t="n">
        <f aca="false">E51-H51</f>
        <v>26</v>
      </c>
      <c r="K51" s="10" t="n">
        <f aca="false">J51*$B$10</f>
        <v>0.56986301369863</v>
      </c>
      <c r="L51" s="10" t="n">
        <f aca="false">IF(F51="是",$B$11,0)</f>
        <v>150</v>
      </c>
      <c r="M51" s="10" t="n">
        <f aca="false">I51*$B$12</f>
        <v>0</v>
      </c>
    </row>
    <row r="52" customFormat="false" ht="15" hidden="false" customHeight="false" outlineLevel="0" collapsed="false">
      <c r="A52" s="12" t="n">
        <v>34</v>
      </c>
      <c r="B52" s="10" t="n">
        <f aca="true">ROUND(MAX(0,NORMINV(RAND(),$B$5,$B$6)),0)</f>
        <v>20</v>
      </c>
      <c r="C52" s="10" t="n">
        <f aca="false">J51</f>
        <v>26</v>
      </c>
      <c r="D52" s="10" t="n">
        <f aca="false">IF(ROW()-$B$7&gt;=19,INDEX($G$19:$G$108,ROW()-$B$7-19+1),0)</f>
        <v>0</v>
      </c>
      <c r="E52" s="10" t="n">
        <f aca="false">C52+D52</f>
        <v>26</v>
      </c>
      <c r="F52" s="10" t="str">
        <f aca="false">IF(E52&lt;=$B$9,"是","否")</f>
        <v>是</v>
      </c>
      <c r="G52" s="10" t="n">
        <f aca="false">IF(F52="是",$B$8,0)</f>
        <v>424</v>
      </c>
      <c r="H52" s="10" t="n">
        <f aca="false">MIN(E52,B52)</f>
        <v>20</v>
      </c>
      <c r="I52" s="10" t="n">
        <f aca="false">MAX(0,B52-E52)</f>
        <v>0</v>
      </c>
      <c r="J52" s="10" t="n">
        <f aca="false">E52-H52</f>
        <v>6</v>
      </c>
      <c r="K52" s="10" t="n">
        <f aca="false">J52*$B$10</f>
        <v>0.131506849315068</v>
      </c>
      <c r="L52" s="10" t="n">
        <f aca="false">IF(F52="是",$B$11,0)</f>
        <v>150</v>
      </c>
      <c r="M52" s="10" t="n">
        <f aca="false">I52*$B$12</f>
        <v>0</v>
      </c>
    </row>
    <row r="53" customFormat="false" ht="15" hidden="false" customHeight="false" outlineLevel="0" collapsed="false">
      <c r="A53" s="12" t="n">
        <v>35</v>
      </c>
      <c r="B53" s="10" t="n">
        <f aca="true">ROUND(MAX(0,NORMINV(RAND(),$B$5,$B$6)),0)</f>
        <v>19</v>
      </c>
      <c r="C53" s="10" t="n">
        <f aca="false">J52</f>
        <v>6</v>
      </c>
      <c r="D53" s="10" t="n">
        <f aca="false">IF(ROW()-$B$7&gt;=19,INDEX($G$19:$G$108,ROW()-$B$7-19+1),0)</f>
        <v>424</v>
      </c>
      <c r="E53" s="10" t="n">
        <f aca="false">C53+D53</f>
        <v>430</v>
      </c>
      <c r="F53" s="10" t="str">
        <f aca="false">IF(E53&lt;=$B$9,"是","否")</f>
        <v>否</v>
      </c>
      <c r="G53" s="10" t="n">
        <f aca="false">IF(F53="是",$B$8,0)</f>
        <v>0</v>
      </c>
      <c r="H53" s="10" t="n">
        <f aca="false">MIN(E53,B53)</f>
        <v>19</v>
      </c>
      <c r="I53" s="10" t="n">
        <f aca="false">MAX(0,B53-E53)</f>
        <v>0</v>
      </c>
      <c r="J53" s="10" t="n">
        <f aca="false">E53-H53</f>
        <v>411</v>
      </c>
      <c r="K53" s="10" t="n">
        <f aca="false">J53*$B$10</f>
        <v>9.00821917808219</v>
      </c>
      <c r="L53" s="10" t="n">
        <f aca="false">IF(F53="是",$B$11,0)</f>
        <v>0</v>
      </c>
      <c r="M53" s="10" t="n">
        <f aca="false">I53*$B$12</f>
        <v>0</v>
      </c>
    </row>
    <row r="54" customFormat="false" ht="15" hidden="false" customHeight="false" outlineLevel="0" collapsed="false">
      <c r="A54" s="12" t="n">
        <v>36</v>
      </c>
      <c r="B54" s="10" t="n">
        <f aca="true">ROUND(MAX(0,NORMINV(RAND(),$B$5,$B$6)),0)</f>
        <v>14</v>
      </c>
      <c r="C54" s="10" t="n">
        <f aca="false">J53</f>
        <v>411</v>
      </c>
      <c r="D54" s="10" t="n">
        <f aca="false">IF(ROW()-$B$7&gt;=19,INDEX($G$19:$G$108,ROW()-$B$7-19+1),0)</f>
        <v>424</v>
      </c>
      <c r="E54" s="10" t="n">
        <f aca="false">C54+D54</f>
        <v>835</v>
      </c>
      <c r="F54" s="10" t="str">
        <f aca="false">IF(E54&lt;=$B$9,"是","否")</f>
        <v>否</v>
      </c>
      <c r="G54" s="10" t="n">
        <f aca="false">IF(F54="是",$B$8,0)</f>
        <v>0</v>
      </c>
      <c r="H54" s="10" t="n">
        <f aca="false">MIN(E54,B54)</f>
        <v>14</v>
      </c>
      <c r="I54" s="10" t="n">
        <f aca="false">MAX(0,B54-E54)</f>
        <v>0</v>
      </c>
      <c r="J54" s="10" t="n">
        <f aca="false">E54-H54</f>
        <v>821</v>
      </c>
      <c r="K54" s="10" t="n">
        <f aca="false">J54*$B$10</f>
        <v>17.9945205479452</v>
      </c>
      <c r="L54" s="10" t="n">
        <f aca="false">IF(F54="是",$B$11,0)</f>
        <v>0</v>
      </c>
      <c r="M54" s="10" t="n">
        <f aca="false">I54*$B$12</f>
        <v>0</v>
      </c>
    </row>
    <row r="55" customFormat="false" ht="15" hidden="false" customHeight="false" outlineLevel="0" collapsed="false">
      <c r="A55" s="12" t="n">
        <v>37</v>
      </c>
      <c r="B55" s="10" t="n">
        <f aca="true">ROUND(MAX(0,NORMINV(RAND(),$B$5,$B$6)),0)</f>
        <v>17</v>
      </c>
      <c r="C55" s="10" t="n">
        <f aca="false">J54</f>
        <v>821</v>
      </c>
      <c r="D55" s="10" t="n">
        <f aca="false">IF(ROW()-$B$7&gt;=19,INDEX($G$19:$G$108,ROW()-$B$7-19+1),0)</f>
        <v>424</v>
      </c>
      <c r="E55" s="10" t="n">
        <f aca="false">C55+D55</f>
        <v>1245</v>
      </c>
      <c r="F55" s="10" t="str">
        <f aca="false">IF(E55&lt;=$B$9,"是","否")</f>
        <v>否</v>
      </c>
      <c r="G55" s="10" t="n">
        <f aca="false">IF(F55="是",$B$8,0)</f>
        <v>0</v>
      </c>
      <c r="H55" s="10" t="n">
        <f aca="false">MIN(E55,B55)</f>
        <v>17</v>
      </c>
      <c r="I55" s="10" t="n">
        <f aca="false">MAX(0,B55-E55)</f>
        <v>0</v>
      </c>
      <c r="J55" s="10" t="n">
        <f aca="false">E55-H55</f>
        <v>1228</v>
      </c>
      <c r="K55" s="10" t="n">
        <f aca="false">J55*$B$10</f>
        <v>26.9150684931507</v>
      </c>
      <c r="L55" s="10" t="n">
        <f aca="false">IF(F55="是",$B$11,0)</f>
        <v>0</v>
      </c>
      <c r="M55" s="10" t="n">
        <f aca="false">I55*$B$12</f>
        <v>0</v>
      </c>
    </row>
    <row r="56" customFormat="false" ht="15" hidden="false" customHeight="false" outlineLevel="0" collapsed="false">
      <c r="A56" s="12" t="n">
        <v>38</v>
      </c>
      <c r="B56" s="10" t="n">
        <f aca="true">ROUND(MAX(0,NORMINV(RAND(),$B$5,$B$6)),0)</f>
        <v>20</v>
      </c>
      <c r="C56" s="10" t="n">
        <f aca="false">J55</f>
        <v>1228</v>
      </c>
      <c r="D56" s="10" t="n">
        <f aca="false">IF(ROW()-$B$7&gt;=19,INDEX($G$19:$G$108,ROW()-$B$7-19+1),0)</f>
        <v>424</v>
      </c>
      <c r="E56" s="10" t="n">
        <f aca="false">C56+D56</f>
        <v>1652</v>
      </c>
      <c r="F56" s="10" t="str">
        <f aca="false">IF(E56&lt;=$B$9,"是","否")</f>
        <v>否</v>
      </c>
      <c r="G56" s="10" t="n">
        <f aca="false">IF(F56="是",$B$8,0)</f>
        <v>0</v>
      </c>
      <c r="H56" s="10" t="n">
        <f aca="false">MIN(E56,B56)</f>
        <v>20</v>
      </c>
      <c r="I56" s="10" t="n">
        <f aca="false">MAX(0,B56-E56)</f>
        <v>0</v>
      </c>
      <c r="J56" s="10" t="n">
        <f aca="false">E56-H56</f>
        <v>1632</v>
      </c>
      <c r="K56" s="10" t="n">
        <f aca="false">J56*$B$10</f>
        <v>35.7698630136986</v>
      </c>
      <c r="L56" s="10" t="n">
        <f aca="false">IF(F56="是",$B$11,0)</f>
        <v>0</v>
      </c>
      <c r="M56" s="10" t="n">
        <f aca="false">I56*$B$12</f>
        <v>0</v>
      </c>
    </row>
    <row r="57" customFormat="false" ht="15" hidden="false" customHeight="false" outlineLevel="0" collapsed="false">
      <c r="A57" s="12" t="n">
        <v>39</v>
      </c>
      <c r="B57" s="10" t="n">
        <f aca="true">ROUND(MAX(0,NORMINV(RAND(),$B$5,$B$6)),0)</f>
        <v>16</v>
      </c>
      <c r="C57" s="10" t="n">
        <f aca="false">J56</f>
        <v>1632</v>
      </c>
      <c r="D57" s="10" t="n">
        <f aca="false">IF(ROW()-$B$7&gt;=19,INDEX($G$19:$G$108,ROW()-$B$7-19+1),0)</f>
        <v>424</v>
      </c>
      <c r="E57" s="10" t="n">
        <f aca="false">C57+D57</f>
        <v>2056</v>
      </c>
      <c r="F57" s="10" t="str">
        <f aca="false">IF(E57&lt;=$B$9,"是","否")</f>
        <v>否</v>
      </c>
      <c r="G57" s="10" t="n">
        <f aca="false">IF(F57="是",$B$8,0)</f>
        <v>0</v>
      </c>
      <c r="H57" s="10" t="n">
        <f aca="false">MIN(E57,B57)</f>
        <v>16</v>
      </c>
      <c r="I57" s="10" t="n">
        <f aca="false">MAX(0,B57-E57)</f>
        <v>0</v>
      </c>
      <c r="J57" s="10" t="n">
        <f aca="false">E57-H57</f>
        <v>2040</v>
      </c>
      <c r="K57" s="10" t="n">
        <f aca="false">J57*$B$10</f>
        <v>44.7123287671233</v>
      </c>
      <c r="L57" s="10" t="n">
        <f aca="false">IF(F57="是",$B$11,0)</f>
        <v>0</v>
      </c>
      <c r="M57" s="10" t="n">
        <f aca="false">I57*$B$12</f>
        <v>0</v>
      </c>
    </row>
    <row r="58" customFormat="false" ht="15" hidden="false" customHeight="false" outlineLevel="0" collapsed="false">
      <c r="A58" s="12" t="n">
        <v>40</v>
      </c>
      <c r="B58" s="10" t="n">
        <f aca="true">ROUND(MAX(0,NORMINV(RAND(),$B$5,$B$6)),0)</f>
        <v>12</v>
      </c>
      <c r="C58" s="10" t="n">
        <f aca="false">J57</f>
        <v>2040</v>
      </c>
      <c r="D58" s="10" t="n">
        <f aca="false">IF(ROW()-$B$7&gt;=19,INDEX($G$19:$G$108,ROW()-$B$7-19+1),0)</f>
        <v>424</v>
      </c>
      <c r="E58" s="10" t="n">
        <f aca="false">C58+D58</f>
        <v>2464</v>
      </c>
      <c r="F58" s="10" t="str">
        <f aca="false">IF(E58&lt;=$B$9,"是","否")</f>
        <v>否</v>
      </c>
      <c r="G58" s="10" t="n">
        <f aca="false">IF(F58="是",$B$8,0)</f>
        <v>0</v>
      </c>
      <c r="H58" s="10" t="n">
        <f aca="false">MIN(E58,B58)</f>
        <v>12</v>
      </c>
      <c r="I58" s="10" t="n">
        <f aca="false">MAX(0,B58-E58)</f>
        <v>0</v>
      </c>
      <c r="J58" s="10" t="n">
        <f aca="false">E58-H58</f>
        <v>2452</v>
      </c>
      <c r="K58" s="10" t="n">
        <f aca="false">J58*$B$10</f>
        <v>53.7424657534246</v>
      </c>
      <c r="L58" s="10" t="n">
        <f aca="false">IF(F58="是",$B$11,0)</f>
        <v>0</v>
      </c>
      <c r="M58" s="10" t="n">
        <f aca="false">I58*$B$12</f>
        <v>0</v>
      </c>
    </row>
    <row r="59" customFormat="false" ht="15" hidden="false" customHeight="false" outlineLevel="0" collapsed="false">
      <c r="A59" s="12" t="n">
        <v>41</v>
      </c>
      <c r="B59" s="10" t="n">
        <f aca="true">ROUND(MAX(0,NORMINV(RAND(),$B$5,$B$6)),0)</f>
        <v>15</v>
      </c>
      <c r="C59" s="10" t="n">
        <f aca="false">J58</f>
        <v>2452</v>
      </c>
      <c r="D59" s="10" t="n">
        <f aca="false">IF(ROW()-$B$7&gt;=19,INDEX($G$19:$G$108,ROW()-$B$7-19+1),0)</f>
        <v>0</v>
      </c>
      <c r="E59" s="10" t="n">
        <f aca="false">C59+D59</f>
        <v>2452</v>
      </c>
      <c r="F59" s="10" t="str">
        <f aca="false">IF(E59&lt;=$B$9,"是","否")</f>
        <v>否</v>
      </c>
      <c r="G59" s="10" t="n">
        <f aca="false">IF(F59="是",$B$8,0)</f>
        <v>0</v>
      </c>
      <c r="H59" s="10" t="n">
        <f aca="false">MIN(E59,B59)</f>
        <v>15</v>
      </c>
      <c r="I59" s="10" t="n">
        <f aca="false">MAX(0,B59-E59)</f>
        <v>0</v>
      </c>
      <c r="J59" s="10" t="n">
        <f aca="false">E59-H59</f>
        <v>2437</v>
      </c>
      <c r="K59" s="10" t="n">
        <f aca="false">J59*$B$10</f>
        <v>53.413698630137</v>
      </c>
      <c r="L59" s="10" t="n">
        <f aca="false">IF(F59="是",$B$11,0)</f>
        <v>0</v>
      </c>
      <c r="M59" s="10" t="n">
        <f aca="false">I59*$B$12</f>
        <v>0</v>
      </c>
    </row>
    <row r="60" customFormat="false" ht="15" hidden="false" customHeight="false" outlineLevel="0" collapsed="false">
      <c r="A60" s="12" t="n">
        <v>42</v>
      </c>
      <c r="B60" s="10" t="n">
        <f aca="true">ROUND(MAX(0,NORMINV(RAND(),$B$5,$B$6)),0)</f>
        <v>13</v>
      </c>
      <c r="C60" s="10" t="n">
        <f aca="false">J59</f>
        <v>2437</v>
      </c>
      <c r="D60" s="10" t="n">
        <f aca="false">IF(ROW()-$B$7&gt;=19,INDEX($G$19:$G$108,ROW()-$B$7-19+1),0)</f>
        <v>0</v>
      </c>
      <c r="E60" s="10" t="n">
        <f aca="false">C60+D60</f>
        <v>2437</v>
      </c>
      <c r="F60" s="10" t="str">
        <f aca="false">IF(E60&lt;=$B$9,"是","否")</f>
        <v>否</v>
      </c>
      <c r="G60" s="10" t="n">
        <f aca="false">IF(F60="是",$B$8,0)</f>
        <v>0</v>
      </c>
      <c r="H60" s="10" t="n">
        <f aca="false">MIN(E60,B60)</f>
        <v>13</v>
      </c>
      <c r="I60" s="10" t="n">
        <f aca="false">MAX(0,B60-E60)</f>
        <v>0</v>
      </c>
      <c r="J60" s="10" t="n">
        <f aca="false">E60-H60</f>
        <v>2424</v>
      </c>
      <c r="K60" s="10" t="n">
        <f aca="false">J60*$B$10</f>
        <v>53.1287671232877</v>
      </c>
      <c r="L60" s="10" t="n">
        <f aca="false">IF(F60="是",$B$11,0)</f>
        <v>0</v>
      </c>
      <c r="M60" s="10" t="n">
        <f aca="false">I60*$B$12</f>
        <v>0</v>
      </c>
    </row>
    <row r="61" customFormat="false" ht="15" hidden="false" customHeight="false" outlineLevel="0" collapsed="false">
      <c r="A61" s="12" t="n">
        <v>43</v>
      </c>
      <c r="B61" s="10" t="n">
        <f aca="true">ROUND(MAX(0,NORMINV(RAND(),$B$5,$B$6)),0)</f>
        <v>12</v>
      </c>
      <c r="C61" s="10" t="n">
        <f aca="false">J60</f>
        <v>2424</v>
      </c>
      <c r="D61" s="10" t="n">
        <f aca="false">IF(ROW()-$B$7&gt;=19,INDEX($G$19:$G$108,ROW()-$B$7-19+1),0)</f>
        <v>0</v>
      </c>
      <c r="E61" s="10" t="n">
        <f aca="false">C61+D61</f>
        <v>2424</v>
      </c>
      <c r="F61" s="10" t="str">
        <f aca="false">IF(E61&lt;=$B$9,"是","否")</f>
        <v>否</v>
      </c>
      <c r="G61" s="10" t="n">
        <f aca="false">IF(F61="是",$B$8,0)</f>
        <v>0</v>
      </c>
      <c r="H61" s="10" t="n">
        <f aca="false">MIN(E61,B61)</f>
        <v>12</v>
      </c>
      <c r="I61" s="10" t="n">
        <f aca="false">MAX(0,B61-E61)</f>
        <v>0</v>
      </c>
      <c r="J61" s="10" t="n">
        <f aca="false">E61-H61</f>
        <v>2412</v>
      </c>
      <c r="K61" s="10" t="n">
        <f aca="false">J61*$B$10</f>
        <v>52.8657534246575</v>
      </c>
      <c r="L61" s="10" t="n">
        <f aca="false">IF(F61="是",$B$11,0)</f>
        <v>0</v>
      </c>
      <c r="M61" s="10" t="n">
        <f aca="false">I61*$B$12</f>
        <v>0</v>
      </c>
    </row>
    <row r="62" customFormat="false" ht="15" hidden="false" customHeight="false" outlineLevel="0" collapsed="false">
      <c r="A62" s="12" t="n">
        <v>44</v>
      </c>
      <c r="B62" s="10" t="n">
        <f aca="true">ROUND(MAX(0,NORMINV(RAND(),$B$5,$B$6)),0)</f>
        <v>16</v>
      </c>
      <c r="C62" s="10" t="n">
        <f aca="false">J61</f>
        <v>2412</v>
      </c>
      <c r="D62" s="10" t="n">
        <f aca="false">IF(ROW()-$B$7&gt;=19,INDEX($G$19:$G$108,ROW()-$B$7-19+1),0)</f>
        <v>0</v>
      </c>
      <c r="E62" s="10" t="n">
        <f aca="false">C62+D62</f>
        <v>2412</v>
      </c>
      <c r="F62" s="10" t="str">
        <f aca="false">IF(E62&lt;=$B$9,"是","否")</f>
        <v>否</v>
      </c>
      <c r="G62" s="10" t="n">
        <f aca="false">IF(F62="是",$B$8,0)</f>
        <v>0</v>
      </c>
      <c r="H62" s="10" t="n">
        <f aca="false">MIN(E62,B62)</f>
        <v>16</v>
      </c>
      <c r="I62" s="10" t="n">
        <f aca="false">MAX(0,B62-E62)</f>
        <v>0</v>
      </c>
      <c r="J62" s="10" t="n">
        <f aca="false">E62-H62</f>
        <v>2396</v>
      </c>
      <c r="K62" s="10" t="n">
        <f aca="false">J62*$B$10</f>
        <v>52.5150684931507</v>
      </c>
      <c r="L62" s="10" t="n">
        <f aca="false">IF(F62="是",$B$11,0)</f>
        <v>0</v>
      </c>
      <c r="M62" s="10" t="n">
        <f aca="false">I62*$B$12</f>
        <v>0</v>
      </c>
    </row>
    <row r="63" customFormat="false" ht="15" hidden="false" customHeight="false" outlineLevel="0" collapsed="false">
      <c r="A63" s="12" t="n">
        <v>45</v>
      </c>
      <c r="B63" s="10" t="n">
        <f aca="true">ROUND(MAX(0,NORMINV(RAND(),$B$5,$B$6)),0)</f>
        <v>17</v>
      </c>
      <c r="C63" s="10" t="n">
        <f aca="false">J62</f>
        <v>2396</v>
      </c>
      <c r="D63" s="10" t="n">
        <f aca="false">IF(ROW()-$B$7&gt;=19,INDEX($G$19:$G$108,ROW()-$B$7-19+1),0)</f>
        <v>0</v>
      </c>
      <c r="E63" s="10" t="n">
        <f aca="false">C63+D63</f>
        <v>2396</v>
      </c>
      <c r="F63" s="10" t="str">
        <f aca="false">IF(E63&lt;=$B$9,"是","否")</f>
        <v>否</v>
      </c>
      <c r="G63" s="10" t="n">
        <f aca="false">IF(F63="是",$B$8,0)</f>
        <v>0</v>
      </c>
      <c r="H63" s="10" t="n">
        <f aca="false">MIN(E63,B63)</f>
        <v>17</v>
      </c>
      <c r="I63" s="10" t="n">
        <f aca="false">MAX(0,B63-E63)</f>
        <v>0</v>
      </c>
      <c r="J63" s="10" t="n">
        <f aca="false">E63-H63</f>
        <v>2379</v>
      </c>
      <c r="K63" s="10" t="n">
        <f aca="false">J63*$B$10</f>
        <v>52.1424657534247</v>
      </c>
      <c r="L63" s="10" t="n">
        <f aca="false">IF(F63="是",$B$11,0)</f>
        <v>0</v>
      </c>
      <c r="M63" s="10" t="n">
        <f aca="false">I63*$B$12</f>
        <v>0</v>
      </c>
    </row>
    <row r="64" customFormat="false" ht="15" hidden="false" customHeight="false" outlineLevel="0" collapsed="false">
      <c r="A64" s="12" t="n">
        <v>46</v>
      </c>
      <c r="B64" s="10" t="n">
        <f aca="true">ROUND(MAX(0,NORMINV(RAND(),$B$5,$B$6)),0)</f>
        <v>15</v>
      </c>
      <c r="C64" s="10" t="n">
        <f aca="false">J63</f>
        <v>2379</v>
      </c>
      <c r="D64" s="10" t="n">
        <f aca="false">IF(ROW()-$B$7&gt;=19,INDEX($G$19:$G$108,ROW()-$B$7-19+1),0)</f>
        <v>0</v>
      </c>
      <c r="E64" s="10" t="n">
        <f aca="false">C64+D64</f>
        <v>2379</v>
      </c>
      <c r="F64" s="10" t="str">
        <f aca="false">IF(E64&lt;=$B$9,"是","否")</f>
        <v>否</v>
      </c>
      <c r="G64" s="10" t="n">
        <f aca="false">IF(F64="是",$B$8,0)</f>
        <v>0</v>
      </c>
      <c r="H64" s="10" t="n">
        <f aca="false">MIN(E64,B64)</f>
        <v>15</v>
      </c>
      <c r="I64" s="10" t="n">
        <f aca="false">MAX(0,B64-E64)</f>
        <v>0</v>
      </c>
      <c r="J64" s="10" t="n">
        <f aca="false">E64-H64</f>
        <v>2364</v>
      </c>
      <c r="K64" s="10" t="n">
        <f aca="false">J64*$B$10</f>
        <v>51.813698630137</v>
      </c>
      <c r="L64" s="10" t="n">
        <f aca="false">IF(F64="是",$B$11,0)</f>
        <v>0</v>
      </c>
      <c r="M64" s="10" t="n">
        <f aca="false">I64*$B$12</f>
        <v>0</v>
      </c>
    </row>
    <row r="65" customFormat="false" ht="15" hidden="false" customHeight="false" outlineLevel="0" collapsed="false">
      <c r="A65" s="12" t="n">
        <v>47</v>
      </c>
      <c r="B65" s="10" t="n">
        <f aca="true">ROUND(MAX(0,NORMINV(RAND(),$B$5,$B$6)),0)</f>
        <v>17</v>
      </c>
      <c r="C65" s="10" t="n">
        <f aca="false">J64</f>
        <v>2364</v>
      </c>
      <c r="D65" s="10" t="n">
        <f aca="false">IF(ROW()-$B$7&gt;=19,INDEX($G$19:$G$108,ROW()-$B$7-19+1),0)</f>
        <v>0</v>
      </c>
      <c r="E65" s="10" t="n">
        <f aca="false">C65+D65</f>
        <v>2364</v>
      </c>
      <c r="F65" s="10" t="str">
        <f aca="false">IF(E65&lt;=$B$9,"是","否")</f>
        <v>否</v>
      </c>
      <c r="G65" s="10" t="n">
        <f aca="false">IF(F65="是",$B$8,0)</f>
        <v>0</v>
      </c>
      <c r="H65" s="10" t="n">
        <f aca="false">MIN(E65,B65)</f>
        <v>17</v>
      </c>
      <c r="I65" s="10" t="n">
        <f aca="false">MAX(0,B65-E65)</f>
        <v>0</v>
      </c>
      <c r="J65" s="10" t="n">
        <f aca="false">E65-H65</f>
        <v>2347</v>
      </c>
      <c r="K65" s="10" t="n">
        <f aca="false">J65*$B$10</f>
        <v>51.441095890411</v>
      </c>
      <c r="L65" s="10" t="n">
        <f aca="false">IF(F65="是",$B$11,0)</f>
        <v>0</v>
      </c>
      <c r="M65" s="10" t="n">
        <f aca="false">I65*$B$12</f>
        <v>0</v>
      </c>
    </row>
    <row r="66" customFormat="false" ht="15" hidden="false" customHeight="false" outlineLevel="0" collapsed="false">
      <c r="A66" s="12" t="n">
        <v>48</v>
      </c>
      <c r="B66" s="10" t="n">
        <f aca="true">ROUND(MAX(0,NORMINV(RAND(),$B$5,$B$6)),0)</f>
        <v>18</v>
      </c>
      <c r="C66" s="10" t="n">
        <f aca="false">J65</f>
        <v>2347</v>
      </c>
      <c r="D66" s="10" t="n">
        <f aca="false">IF(ROW()-$B$7&gt;=19,INDEX($G$19:$G$108,ROW()-$B$7-19+1),0)</f>
        <v>0</v>
      </c>
      <c r="E66" s="10" t="n">
        <f aca="false">C66+D66</f>
        <v>2347</v>
      </c>
      <c r="F66" s="10" t="str">
        <f aca="false">IF(E66&lt;=$B$9,"是","否")</f>
        <v>否</v>
      </c>
      <c r="G66" s="10" t="n">
        <f aca="false">IF(F66="是",$B$8,0)</f>
        <v>0</v>
      </c>
      <c r="H66" s="10" t="n">
        <f aca="false">MIN(E66,B66)</f>
        <v>18</v>
      </c>
      <c r="I66" s="10" t="n">
        <f aca="false">MAX(0,B66-E66)</f>
        <v>0</v>
      </c>
      <c r="J66" s="10" t="n">
        <f aca="false">E66-H66</f>
        <v>2329</v>
      </c>
      <c r="K66" s="10" t="n">
        <f aca="false">J66*$B$10</f>
        <v>51.0465753424657</v>
      </c>
      <c r="L66" s="10" t="n">
        <f aca="false">IF(F66="是",$B$11,0)</f>
        <v>0</v>
      </c>
      <c r="M66" s="10" t="n">
        <f aca="false">I66*$B$12</f>
        <v>0</v>
      </c>
    </row>
    <row r="67" customFormat="false" ht="15" hidden="false" customHeight="false" outlineLevel="0" collapsed="false">
      <c r="A67" s="12" t="n">
        <v>49</v>
      </c>
      <c r="B67" s="10" t="n">
        <f aca="true">ROUND(MAX(0,NORMINV(RAND(),$B$5,$B$6)),0)</f>
        <v>19</v>
      </c>
      <c r="C67" s="10" t="n">
        <f aca="false">J66</f>
        <v>2329</v>
      </c>
      <c r="D67" s="10" t="n">
        <f aca="false">IF(ROW()-$B$7&gt;=19,INDEX($G$19:$G$108,ROW()-$B$7-19+1),0)</f>
        <v>0</v>
      </c>
      <c r="E67" s="10" t="n">
        <f aca="false">C67+D67</f>
        <v>2329</v>
      </c>
      <c r="F67" s="10" t="str">
        <f aca="false">IF(E67&lt;=$B$9,"是","否")</f>
        <v>否</v>
      </c>
      <c r="G67" s="10" t="n">
        <f aca="false">IF(F67="是",$B$8,0)</f>
        <v>0</v>
      </c>
      <c r="H67" s="10" t="n">
        <f aca="false">MIN(E67,B67)</f>
        <v>19</v>
      </c>
      <c r="I67" s="10" t="n">
        <f aca="false">MAX(0,B67-E67)</f>
        <v>0</v>
      </c>
      <c r="J67" s="10" t="n">
        <f aca="false">E67-H67</f>
        <v>2310</v>
      </c>
      <c r="K67" s="10" t="n">
        <f aca="false">J67*$B$10</f>
        <v>50.6301369863014</v>
      </c>
      <c r="L67" s="10" t="n">
        <f aca="false">IF(F67="是",$B$11,0)</f>
        <v>0</v>
      </c>
      <c r="M67" s="10" t="n">
        <f aca="false">I67*$B$12</f>
        <v>0</v>
      </c>
    </row>
    <row r="68" customFormat="false" ht="15" hidden="false" customHeight="false" outlineLevel="0" collapsed="false">
      <c r="A68" s="12" t="n">
        <v>50</v>
      </c>
      <c r="B68" s="10" t="n">
        <f aca="true">ROUND(MAX(0,NORMINV(RAND(),$B$5,$B$6)),0)</f>
        <v>14</v>
      </c>
      <c r="C68" s="10" t="n">
        <f aca="false">J67</f>
        <v>2310</v>
      </c>
      <c r="D68" s="10" t="n">
        <f aca="false">IF(ROW()-$B$7&gt;=19,INDEX($G$19:$G$108,ROW()-$B$7-19+1),0)</f>
        <v>0</v>
      </c>
      <c r="E68" s="10" t="n">
        <f aca="false">C68+D68</f>
        <v>2310</v>
      </c>
      <c r="F68" s="10" t="str">
        <f aca="false">IF(E68&lt;=$B$9,"是","否")</f>
        <v>否</v>
      </c>
      <c r="G68" s="10" t="n">
        <f aca="false">IF(F68="是",$B$8,0)</f>
        <v>0</v>
      </c>
      <c r="H68" s="10" t="n">
        <f aca="false">MIN(E68,B68)</f>
        <v>14</v>
      </c>
      <c r="I68" s="10" t="n">
        <f aca="false">MAX(0,B68-E68)</f>
        <v>0</v>
      </c>
      <c r="J68" s="10" t="n">
        <f aca="false">E68-H68</f>
        <v>2296</v>
      </c>
      <c r="K68" s="10" t="n">
        <f aca="false">J68*$B$10</f>
        <v>50.3232876712329</v>
      </c>
      <c r="L68" s="10" t="n">
        <f aca="false">IF(F68="是",$B$11,0)</f>
        <v>0</v>
      </c>
      <c r="M68" s="10" t="n">
        <f aca="false">I68*$B$12</f>
        <v>0</v>
      </c>
    </row>
    <row r="69" customFormat="false" ht="15" hidden="false" customHeight="false" outlineLevel="0" collapsed="false">
      <c r="A69" s="12" t="n">
        <v>51</v>
      </c>
      <c r="B69" s="10" t="n">
        <f aca="true">ROUND(MAX(0,NORMINV(RAND(),$B$5,$B$6)),0)</f>
        <v>11</v>
      </c>
      <c r="C69" s="10" t="n">
        <f aca="false">J68</f>
        <v>2296</v>
      </c>
      <c r="D69" s="10" t="n">
        <f aca="false">IF(ROW()-$B$7&gt;=19,INDEX($G$19:$G$108,ROW()-$B$7-19+1),0)</f>
        <v>0</v>
      </c>
      <c r="E69" s="10" t="n">
        <f aca="false">C69+D69</f>
        <v>2296</v>
      </c>
      <c r="F69" s="10" t="str">
        <f aca="false">IF(E69&lt;=$B$9,"是","否")</f>
        <v>否</v>
      </c>
      <c r="G69" s="10" t="n">
        <f aca="false">IF(F69="是",$B$8,0)</f>
        <v>0</v>
      </c>
      <c r="H69" s="10" t="n">
        <f aca="false">MIN(E69,B69)</f>
        <v>11</v>
      </c>
      <c r="I69" s="10" t="n">
        <f aca="false">MAX(0,B69-E69)</f>
        <v>0</v>
      </c>
      <c r="J69" s="10" t="n">
        <f aca="false">E69-H69</f>
        <v>2285</v>
      </c>
      <c r="K69" s="10" t="n">
        <f aca="false">J69*$B$10</f>
        <v>50.0821917808219</v>
      </c>
      <c r="L69" s="10" t="n">
        <f aca="false">IF(F69="是",$B$11,0)</f>
        <v>0</v>
      </c>
      <c r="M69" s="10" t="n">
        <f aca="false">I69*$B$12</f>
        <v>0</v>
      </c>
    </row>
    <row r="70" customFormat="false" ht="15" hidden="false" customHeight="false" outlineLevel="0" collapsed="false">
      <c r="A70" s="12" t="n">
        <v>52</v>
      </c>
      <c r="B70" s="10" t="n">
        <f aca="true">ROUND(MAX(0,NORMINV(RAND(),$B$5,$B$6)),0)</f>
        <v>13</v>
      </c>
      <c r="C70" s="10" t="n">
        <f aca="false">J69</f>
        <v>2285</v>
      </c>
      <c r="D70" s="10" t="n">
        <f aca="false">IF(ROW()-$B$7&gt;=19,INDEX($G$19:$G$108,ROW()-$B$7-19+1),0)</f>
        <v>0</v>
      </c>
      <c r="E70" s="10" t="n">
        <f aca="false">C70+D70</f>
        <v>2285</v>
      </c>
      <c r="F70" s="10" t="str">
        <f aca="false">IF(E70&lt;=$B$9,"是","否")</f>
        <v>否</v>
      </c>
      <c r="G70" s="10" t="n">
        <f aca="false">IF(F70="是",$B$8,0)</f>
        <v>0</v>
      </c>
      <c r="H70" s="10" t="n">
        <f aca="false">MIN(E70,B70)</f>
        <v>13</v>
      </c>
      <c r="I70" s="10" t="n">
        <f aca="false">MAX(0,B70-E70)</f>
        <v>0</v>
      </c>
      <c r="J70" s="10" t="n">
        <f aca="false">E70-H70</f>
        <v>2272</v>
      </c>
      <c r="K70" s="10" t="n">
        <f aca="false">J70*$B$10</f>
        <v>49.7972602739726</v>
      </c>
      <c r="L70" s="10" t="n">
        <f aca="false">IF(F70="是",$B$11,0)</f>
        <v>0</v>
      </c>
      <c r="M70" s="10" t="n">
        <f aca="false">I70*$B$12</f>
        <v>0</v>
      </c>
    </row>
    <row r="71" customFormat="false" ht="15" hidden="false" customHeight="false" outlineLevel="0" collapsed="false">
      <c r="A71" s="12" t="n">
        <v>53</v>
      </c>
      <c r="B71" s="10" t="n">
        <f aca="true">ROUND(MAX(0,NORMINV(RAND(),$B$5,$B$6)),0)</f>
        <v>23</v>
      </c>
      <c r="C71" s="10" t="n">
        <f aca="false">J70</f>
        <v>2272</v>
      </c>
      <c r="D71" s="10" t="n">
        <f aca="false">IF(ROW()-$B$7&gt;=19,INDEX($G$19:$G$108,ROW()-$B$7-19+1),0)</f>
        <v>0</v>
      </c>
      <c r="E71" s="10" t="n">
        <f aca="false">C71+D71</f>
        <v>2272</v>
      </c>
      <c r="F71" s="10" t="str">
        <f aca="false">IF(E71&lt;=$B$9,"是","否")</f>
        <v>否</v>
      </c>
      <c r="G71" s="10" t="n">
        <f aca="false">IF(F71="是",$B$8,0)</f>
        <v>0</v>
      </c>
      <c r="H71" s="10" t="n">
        <f aca="false">MIN(E71,B71)</f>
        <v>23</v>
      </c>
      <c r="I71" s="10" t="n">
        <f aca="false">MAX(0,B71-E71)</f>
        <v>0</v>
      </c>
      <c r="J71" s="10" t="n">
        <f aca="false">E71-H71</f>
        <v>2249</v>
      </c>
      <c r="K71" s="10" t="n">
        <f aca="false">J71*$B$10</f>
        <v>49.2931506849315</v>
      </c>
      <c r="L71" s="10" t="n">
        <f aca="false">IF(F71="是",$B$11,0)</f>
        <v>0</v>
      </c>
      <c r="M71" s="10" t="n">
        <f aca="false">I71*$B$12</f>
        <v>0</v>
      </c>
    </row>
    <row r="72" customFormat="false" ht="15" hidden="false" customHeight="false" outlineLevel="0" collapsed="false">
      <c r="A72" s="12" t="n">
        <v>54</v>
      </c>
      <c r="B72" s="10" t="n">
        <f aca="true">ROUND(MAX(0,NORMINV(RAND(),$B$5,$B$6)),0)</f>
        <v>15</v>
      </c>
      <c r="C72" s="10" t="n">
        <f aca="false">J71</f>
        <v>2249</v>
      </c>
      <c r="D72" s="10" t="n">
        <f aca="false">IF(ROW()-$B$7&gt;=19,INDEX($G$19:$G$108,ROW()-$B$7-19+1),0)</f>
        <v>0</v>
      </c>
      <c r="E72" s="10" t="n">
        <f aca="false">C72+D72</f>
        <v>2249</v>
      </c>
      <c r="F72" s="10" t="str">
        <f aca="false">IF(E72&lt;=$B$9,"是","否")</f>
        <v>否</v>
      </c>
      <c r="G72" s="10" t="n">
        <f aca="false">IF(F72="是",$B$8,0)</f>
        <v>0</v>
      </c>
      <c r="H72" s="10" t="n">
        <f aca="false">MIN(E72,B72)</f>
        <v>15</v>
      </c>
      <c r="I72" s="10" t="n">
        <f aca="false">MAX(0,B72-E72)</f>
        <v>0</v>
      </c>
      <c r="J72" s="10" t="n">
        <f aca="false">E72-H72</f>
        <v>2234</v>
      </c>
      <c r="K72" s="10" t="n">
        <f aca="false">J72*$B$10</f>
        <v>48.9643835616438</v>
      </c>
      <c r="L72" s="10" t="n">
        <f aca="false">IF(F72="是",$B$11,0)</f>
        <v>0</v>
      </c>
      <c r="M72" s="10" t="n">
        <f aca="false">I72*$B$12</f>
        <v>0</v>
      </c>
    </row>
    <row r="73" customFormat="false" ht="15" hidden="false" customHeight="false" outlineLevel="0" collapsed="false">
      <c r="A73" s="12" t="n">
        <v>55</v>
      </c>
      <c r="B73" s="10" t="n">
        <f aca="true">ROUND(MAX(0,NORMINV(RAND(),$B$5,$B$6)),0)</f>
        <v>17</v>
      </c>
      <c r="C73" s="10" t="n">
        <f aca="false">J72</f>
        <v>2234</v>
      </c>
      <c r="D73" s="10" t="n">
        <f aca="false">IF(ROW()-$B$7&gt;=19,INDEX($G$19:$G$108,ROW()-$B$7-19+1),0)</f>
        <v>0</v>
      </c>
      <c r="E73" s="10" t="n">
        <f aca="false">C73+D73</f>
        <v>2234</v>
      </c>
      <c r="F73" s="10" t="str">
        <f aca="false">IF(E73&lt;=$B$9,"是","否")</f>
        <v>否</v>
      </c>
      <c r="G73" s="10" t="n">
        <f aca="false">IF(F73="是",$B$8,0)</f>
        <v>0</v>
      </c>
      <c r="H73" s="10" t="n">
        <f aca="false">MIN(E73,B73)</f>
        <v>17</v>
      </c>
      <c r="I73" s="10" t="n">
        <f aca="false">MAX(0,B73-E73)</f>
        <v>0</v>
      </c>
      <c r="J73" s="10" t="n">
        <f aca="false">E73-H73</f>
        <v>2217</v>
      </c>
      <c r="K73" s="10" t="n">
        <f aca="false">J73*$B$10</f>
        <v>48.5917808219178</v>
      </c>
      <c r="L73" s="10" t="n">
        <f aca="false">IF(F73="是",$B$11,0)</f>
        <v>0</v>
      </c>
      <c r="M73" s="10" t="n">
        <f aca="false">I73*$B$12</f>
        <v>0</v>
      </c>
    </row>
    <row r="74" customFormat="false" ht="15" hidden="false" customHeight="false" outlineLevel="0" collapsed="false">
      <c r="A74" s="12" t="n">
        <v>56</v>
      </c>
      <c r="B74" s="10" t="n">
        <f aca="true">ROUND(MAX(0,NORMINV(RAND(),$B$5,$B$6)),0)</f>
        <v>12</v>
      </c>
      <c r="C74" s="10" t="n">
        <f aca="false">J73</f>
        <v>2217</v>
      </c>
      <c r="D74" s="10" t="n">
        <f aca="false">IF(ROW()-$B$7&gt;=19,INDEX($G$19:$G$108,ROW()-$B$7-19+1),0)</f>
        <v>0</v>
      </c>
      <c r="E74" s="10" t="n">
        <f aca="false">C74+D74</f>
        <v>2217</v>
      </c>
      <c r="F74" s="10" t="str">
        <f aca="false">IF(E74&lt;=$B$9,"是","否")</f>
        <v>否</v>
      </c>
      <c r="G74" s="10" t="n">
        <f aca="false">IF(F74="是",$B$8,0)</f>
        <v>0</v>
      </c>
      <c r="H74" s="10" t="n">
        <f aca="false">MIN(E74,B74)</f>
        <v>12</v>
      </c>
      <c r="I74" s="10" t="n">
        <f aca="false">MAX(0,B74-E74)</f>
        <v>0</v>
      </c>
      <c r="J74" s="10" t="n">
        <f aca="false">E74-H74</f>
        <v>2205</v>
      </c>
      <c r="K74" s="10" t="n">
        <f aca="false">J74*$B$10</f>
        <v>48.3287671232877</v>
      </c>
      <c r="L74" s="10" t="n">
        <f aca="false">IF(F74="是",$B$11,0)</f>
        <v>0</v>
      </c>
      <c r="M74" s="10" t="n">
        <f aca="false">I74*$B$12</f>
        <v>0</v>
      </c>
    </row>
    <row r="75" customFormat="false" ht="15" hidden="false" customHeight="false" outlineLevel="0" collapsed="false">
      <c r="A75" s="12" t="n">
        <v>57</v>
      </c>
      <c r="B75" s="10" t="n">
        <f aca="true">ROUND(MAX(0,NORMINV(RAND(),$B$5,$B$6)),0)</f>
        <v>19</v>
      </c>
      <c r="C75" s="10" t="n">
        <f aca="false">J74</f>
        <v>2205</v>
      </c>
      <c r="D75" s="10" t="n">
        <f aca="false">IF(ROW()-$B$7&gt;=19,INDEX($G$19:$G$108,ROW()-$B$7-19+1),0)</f>
        <v>0</v>
      </c>
      <c r="E75" s="10" t="n">
        <f aca="false">C75+D75</f>
        <v>2205</v>
      </c>
      <c r="F75" s="10" t="str">
        <f aca="false">IF(E75&lt;=$B$9,"是","否")</f>
        <v>否</v>
      </c>
      <c r="G75" s="10" t="n">
        <f aca="false">IF(F75="是",$B$8,0)</f>
        <v>0</v>
      </c>
      <c r="H75" s="10" t="n">
        <f aca="false">MIN(E75,B75)</f>
        <v>19</v>
      </c>
      <c r="I75" s="10" t="n">
        <f aca="false">MAX(0,B75-E75)</f>
        <v>0</v>
      </c>
      <c r="J75" s="10" t="n">
        <f aca="false">E75-H75</f>
        <v>2186</v>
      </c>
      <c r="K75" s="10" t="n">
        <f aca="false">J75*$B$10</f>
        <v>47.9123287671233</v>
      </c>
      <c r="L75" s="10" t="n">
        <f aca="false">IF(F75="是",$B$11,0)</f>
        <v>0</v>
      </c>
      <c r="M75" s="10" t="n">
        <f aca="false">I75*$B$12</f>
        <v>0</v>
      </c>
    </row>
    <row r="76" customFormat="false" ht="15" hidden="false" customHeight="false" outlineLevel="0" collapsed="false">
      <c r="A76" s="12" t="n">
        <v>58</v>
      </c>
      <c r="B76" s="10" t="n">
        <f aca="true">ROUND(MAX(0,NORMINV(RAND(),$B$5,$B$6)),0)</f>
        <v>18</v>
      </c>
      <c r="C76" s="10" t="n">
        <f aca="false">J75</f>
        <v>2186</v>
      </c>
      <c r="D76" s="10" t="n">
        <f aca="false">IF(ROW()-$B$7&gt;=19,INDEX($G$19:$G$108,ROW()-$B$7-19+1),0)</f>
        <v>0</v>
      </c>
      <c r="E76" s="10" t="n">
        <f aca="false">C76+D76</f>
        <v>2186</v>
      </c>
      <c r="F76" s="10" t="str">
        <f aca="false">IF(E76&lt;=$B$9,"是","否")</f>
        <v>否</v>
      </c>
      <c r="G76" s="10" t="n">
        <f aca="false">IF(F76="是",$B$8,0)</f>
        <v>0</v>
      </c>
      <c r="H76" s="10" t="n">
        <f aca="false">MIN(E76,B76)</f>
        <v>18</v>
      </c>
      <c r="I76" s="10" t="n">
        <f aca="false">MAX(0,B76-E76)</f>
        <v>0</v>
      </c>
      <c r="J76" s="10" t="n">
        <f aca="false">E76-H76</f>
        <v>2168</v>
      </c>
      <c r="K76" s="10" t="n">
        <f aca="false">J76*$B$10</f>
        <v>47.5178082191781</v>
      </c>
      <c r="L76" s="10" t="n">
        <f aca="false">IF(F76="是",$B$11,0)</f>
        <v>0</v>
      </c>
      <c r="M76" s="10" t="n">
        <f aca="false">I76*$B$12</f>
        <v>0</v>
      </c>
    </row>
    <row r="77" customFormat="false" ht="15" hidden="false" customHeight="false" outlineLevel="0" collapsed="false">
      <c r="A77" s="12" t="n">
        <v>59</v>
      </c>
      <c r="B77" s="10" t="n">
        <f aca="true">ROUND(MAX(0,NORMINV(RAND(),$B$5,$B$6)),0)</f>
        <v>18</v>
      </c>
      <c r="C77" s="10" t="n">
        <f aca="false">J76</f>
        <v>2168</v>
      </c>
      <c r="D77" s="10" t="n">
        <f aca="false">IF(ROW()-$B$7&gt;=19,INDEX($G$19:$G$108,ROW()-$B$7-19+1),0)</f>
        <v>0</v>
      </c>
      <c r="E77" s="10" t="n">
        <f aca="false">C77+D77</f>
        <v>2168</v>
      </c>
      <c r="F77" s="10" t="str">
        <f aca="false">IF(E77&lt;=$B$9,"是","否")</f>
        <v>否</v>
      </c>
      <c r="G77" s="10" t="n">
        <f aca="false">IF(F77="是",$B$8,0)</f>
        <v>0</v>
      </c>
      <c r="H77" s="10" t="n">
        <f aca="false">MIN(E77,B77)</f>
        <v>18</v>
      </c>
      <c r="I77" s="10" t="n">
        <f aca="false">MAX(0,B77-E77)</f>
        <v>0</v>
      </c>
      <c r="J77" s="10" t="n">
        <f aca="false">E77-H77</f>
        <v>2150</v>
      </c>
      <c r="K77" s="10" t="n">
        <f aca="false">J77*$B$10</f>
        <v>47.1232876712329</v>
      </c>
      <c r="L77" s="10" t="n">
        <f aca="false">IF(F77="是",$B$11,0)</f>
        <v>0</v>
      </c>
      <c r="M77" s="10" t="n">
        <f aca="false">I77*$B$12</f>
        <v>0</v>
      </c>
    </row>
    <row r="78" customFormat="false" ht="15" hidden="false" customHeight="false" outlineLevel="0" collapsed="false">
      <c r="A78" s="12" t="n">
        <v>60</v>
      </c>
      <c r="B78" s="10" t="n">
        <f aca="true">ROUND(MAX(0,NORMINV(RAND(),$B$5,$B$6)),0)</f>
        <v>16</v>
      </c>
      <c r="C78" s="10" t="n">
        <f aca="false">J77</f>
        <v>2150</v>
      </c>
      <c r="D78" s="10" t="n">
        <f aca="false">IF(ROW()-$B$7&gt;=19,INDEX($G$19:$G$108,ROW()-$B$7-19+1),0)</f>
        <v>0</v>
      </c>
      <c r="E78" s="10" t="n">
        <f aca="false">C78+D78</f>
        <v>2150</v>
      </c>
      <c r="F78" s="10" t="str">
        <f aca="false">IF(E78&lt;=$B$9,"是","否")</f>
        <v>否</v>
      </c>
      <c r="G78" s="10" t="n">
        <f aca="false">IF(F78="是",$B$8,0)</f>
        <v>0</v>
      </c>
      <c r="H78" s="10" t="n">
        <f aca="false">MIN(E78,B78)</f>
        <v>16</v>
      </c>
      <c r="I78" s="10" t="n">
        <f aca="false">MAX(0,B78-E78)</f>
        <v>0</v>
      </c>
      <c r="J78" s="10" t="n">
        <f aca="false">E78-H78</f>
        <v>2134</v>
      </c>
      <c r="K78" s="10" t="n">
        <f aca="false">J78*$B$10</f>
        <v>46.772602739726</v>
      </c>
      <c r="L78" s="10" t="n">
        <f aca="false">IF(F78="是",$B$11,0)</f>
        <v>0</v>
      </c>
      <c r="M78" s="10" t="n">
        <f aca="false">I78*$B$12</f>
        <v>0</v>
      </c>
    </row>
    <row r="79" customFormat="false" ht="15" hidden="false" customHeight="false" outlineLevel="0" collapsed="false">
      <c r="A79" s="12" t="n">
        <v>61</v>
      </c>
      <c r="B79" s="10" t="n">
        <f aca="true">ROUND(MAX(0,NORMINV(RAND(),$B$5,$B$6)),0)</f>
        <v>14</v>
      </c>
      <c r="C79" s="10" t="n">
        <f aca="false">J78</f>
        <v>2134</v>
      </c>
      <c r="D79" s="10" t="n">
        <f aca="false">IF(ROW()-$B$7&gt;=19,INDEX($G$19:$G$108,ROW()-$B$7-19+1),0)</f>
        <v>0</v>
      </c>
      <c r="E79" s="10" t="n">
        <f aca="false">C79+D79</f>
        <v>2134</v>
      </c>
      <c r="F79" s="10" t="str">
        <f aca="false">IF(E79&lt;=$B$9,"是","否")</f>
        <v>否</v>
      </c>
      <c r="G79" s="10" t="n">
        <f aca="false">IF(F79="是",$B$8,0)</f>
        <v>0</v>
      </c>
      <c r="H79" s="10" t="n">
        <f aca="false">MIN(E79,B79)</f>
        <v>14</v>
      </c>
      <c r="I79" s="10" t="n">
        <f aca="false">MAX(0,B79-E79)</f>
        <v>0</v>
      </c>
      <c r="J79" s="10" t="n">
        <f aca="false">E79-H79</f>
        <v>2120</v>
      </c>
      <c r="K79" s="10" t="n">
        <f aca="false">J79*$B$10</f>
        <v>46.4657534246575</v>
      </c>
      <c r="L79" s="10" t="n">
        <f aca="false">IF(F79="是",$B$11,0)</f>
        <v>0</v>
      </c>
      <c r="M79" s="10" t="n">
        <f aca="false">I79*$B$12</f>
        <v>0</v>
      </c>
    </row>
    <row r="80" customFormat="false" ht="15" hidden="false" customHeight="false" outlineLevel="0" collapsed="false">
      <c r="A80" s="12" t="n">
        <v>62</v>
      </c>
      <c r="B80" s="10" t="n">
        <f aca="true">ROUND(MAX(0,NORMINV(RAND(),$B$5,$B$6)),0)</f>
        <v>17</v>
      </c>
      <c r="C80" s="10" t="n">
        <f aca="false">J79</f>
        <v>2120</v>
      </c>
      <c r="D80" s="10" t="n">
        <f aca="false">IF(ROW()-$B$7&gt;=19,INDEX($G$19:$G$108,ROW()-$B$7-19+1),0)</f>
        <v>0</v>
      </c>
      <c r="E80" s="10" t="n">
        <f aca="false">C80+D80</f>
        <v>2120</v>
      </c>
      <c r="F80" s="10" t="str">
        <f aca="false">IF(E80&lt;=$B$9,"是","否")</f>
        <v>否</v>
      </c>
      <c r="G80" s="10" t="n">
        <f aca="false">IF(F80="是",$B$8,0)</f>
        <v>0</v>
      </c>
      <c r="H80" s="10" t="n">
        <f aca="false">MIN(E80,B80)</f>
        <v>17</v>
      </c>
      <c r="I80" s="10" t="n">
        <f aca="false">MAX(0,B80-E80)</f>
        <v>0</v>
      </c>
      <c r="J80" s="10" t="n">
        <f aca="false">E80-H80</f>
        <v>2103</v>
      </c>
      <c r="K80" s="10" t="n">
        <f aca="false">J80*$B$10</f>
        <v>46.0931506849315</v>
      </c>
      <c r="L80" s="10" t="n">
        <f aca="false">IF(F80="是",$B$11,0)</f>
        <v>0</v>
      </c>
      <c r="M80" s="10" t="n">
        <f aca="false">I80*$B$12</f>
        <v>0</v>
      </c>
    </row>
    <row r="81" customFormat="false" ht="15" hidden="false" customHeight="false" outlineLevel="0" collapsed="false">
      <c r="A81" s="12" t="n">
        <v>63</v>
      </c>
      <c r="B81" s="10" t="n">
        <f aca="true">ROUND(MAX(0,NORMINV(RAND(),$B$5,$B$6)),0)</f>
        <v>19</v>
      </c>
      <c r="C81" s="10" t="n">
        <f aca="false">J80</f>
        <v>2103</v>
      </c>
      <c r="D81" s="10" t="n">
        <f aca="false">IF(ROW()-$B$7&gt;=19,INDEX($G$19:$G$108,ROW()-$B$7-19+1),0)</f>
        <v>0</v>
      </c>
      <c r="E81" s="10" t="n">
        <f aca="false">C81+D81</f>
        <v>2103</v>
      </c>
      <c r="F81" s="10" t="str">
        <f aca="false">IF(E81&lt;=$B$9,"是","否")</f>
        <v>否</v>
      </c>
      <c r="G81" s="10" t="n">
        <f aca="false">IF(F81="是",$B$8,0)</f>
        <v>0</v>
      </c>
      <c r="H81" s="10" t="n">
        <f aca="false">MIN(E81,B81)</f>
        <v>19</v>
      </c>
      <c r="I81" s="10" t="n">
        <f aca="false">MAX(0,B81-E81)</f>
        <v>0</v>
      </c>
      <c r="J81" s="10" t="n">
        <f aca="false">E81-H81</f>
        <v>2084</v>
      </c>
      <c r="K81" s="10" t="n">
        <f aca="false">J81*$B$10</f>
        <v>45.6767123287671</v>
      </c>
      <c r="L81" s="10" t="n">
        <f aca="false">IF(F81="是",$B$11,0)</f>
        <v>0</v>
      </c>
      <c r="M81" s="10" t="n">
        <f aca="false">I81*$B$12</f>
        <v>0</v>
      </c>
    </row>
    <row r="82" customFormat="false" ht="15" hidden="false" customHeight="false" outlineLevel="0" collapsed="false">
      <c r="A82" s="12" t="n">
        <v>64</v>
      </c>
      <c r="B82" s="10" t="n">
        <f aca="true">ROUND(MAX(0,NORMINV(RAND(),$B$5,$B$6)),0)</f>
        <v>12</v>
      </c>
      <c r="C82" s="10" t="n">
        <f aca="false">J81</f>
        <v>2084</v>
      </c>
      <c r="D82" s="10" t="n">
        <f aca="false">IF(ROW()-$B$7&gt;=19,INDEX($G$19:$G$108,ROW()-$B$7-19+1),0)</f>
        <v>0</v>
      </c>
      <c r="E82" s="10" t="n">
        <f aca="false">C82+D82</f>
        <v>2084</v>
      </c>
      <c r="F82" s="10" t="str">
        <f aca="false">IF(E82&lt;=$B$9,"是","否")</f>
        <v>否</v>
      </c>
      <c r="G82" s="10" t="n">
        <f aca="false">IF(F82="是",$B$8,0)</f>
        <v>0</v>
      </c>
      <c r="H82" s="10" t="n">
        <f aca="false">MIN(E82,B82)</f>
        <v>12</v>
      </c>
      <c r="I82" s="10" t="n">
        <f aca="false">MAX(0,B82-E82)</f>
        <v>0</v>
      </c>
      <c r="J82" s="10" t="n">
        <f aca="false">E82-H82</f>
        <v>2072</v>
      </c>
      <c r="K82" s="10" t="n">
        <f aca="false">J82*$B$10</f>
        <v>45.413698630137</v>
      </c>
      <c r="L82" s="10" t="n">
        <f aca="false">IF(F82="是",$B$11,0)</f>
        <v>0</v>
      </c>
      <c r="M82" s="10" t="n">
        <f aca="false">I82*$B$12</f>
        <v>0</v>
      </c>
    </row>
    <row r="83" customFormat="false" ht="15" hidden="false" customHeight="false" outlineLevel="0" collapsed="false">
      <c r="A83" s="12" t="n">
        <v>65</v>
      </c>
      <c r="B83" s="10" t="n">
        <f aca="true">ROUND(MAX(0,NORMINV(RAND(),$B$5,$B$6)),0)</f>
        <v>15</v>
      </c>
      <c r="C83" s="10" t="n">
        <f aca="false">J82</f>
        <v>2072</v>
      </c>
      <c r="D83" s="10" t="n">
        <f aca="false">IF(ROW()-$B$7&gt;=19,INDEX($G$19:$G$108,ROW()-$B$7-19+1),0)</f>
        <v>0</v>
      </c>
      <c r="E83" s="10" t="n">
        <f aca="false">C83+D83</f>
        <v>2072</v>
      </c>
      <c r="F83" s="10" t="str">
        <f aca="false">IF(E83&lt;=$B$9,"是","否")</f>
        <v>否</v>
      </c>
      <c r="G83" s="10" t="n">
        <f aca="false">IF(F83="是",$B$8,0)</f>
        <v>0</v>
      </c>
      <c r="H83" s="10" t="n">
        <f aca="false">MIN(E83,B83)</f>
        <v>15</v>
      </c>
      <c r="I83" s="10" t="n">
        <f aca="false">MAX(0,B83-E83)</f>
        <v>0</v>
      </c>
      <c r="J83" s="10" t="n">
        <f aca="false">E83-H83</f>
        <v>2057</v>
      </c>
      <c r="K83" s="10" t="n">
        <f aca="false">J83*$B$10</f>
        <v>45.0849315068493</v>
      </c>
      <c r="L83" s="10" t="n">
        <f aca="false">IF(F83="是",$B$11,0)</f>
        <v>0</v>
      </c>
      <c r="M83" s="10" t="n">
        <f aca="false">I83*$B$12</f>
        <v>0</v>
      </c>
    </row>
    <row r="84" customFormat="false" ht="15" hidden="false" customHeight="false" outlineLevel="0" collapsed="false">
      <c r="A84" s="12" t="n">
        <v>66</v>
      </c>
      <c r="B84" s="10" t="n">
        <f aca="true">ROUND(MAX(0,NORMINV(RAND(),$B$5,$B$6)),0)</f>
        <v>17</v>
      </c>
      <c r="C84" s="10" t="n">
        <f aca="false">J83</f>
        <v>2057</v>
      </c>
      <c r="D84" s="10" t="n">
        <f aca="false">IF(ROW()-$B$7&gt;=19,INDEX($G$19:$G$108,ROW()-$B$7-19+1),0)</f>
        <v>0</v>
      </c>
      <c r="E84" s="10" t="n">
        <f aca="false">C84+D84</f>
        <v>2057</v>
      </c>
      <c r="F84" s="10" t="str">
        <f aca="false">IF(E84&lt;=$B$9,"是","否")</f>
        <v>否</v>
      </c>
      <c r="G84" s="10" t="n">
        <f aca="false">IF(F84="是",$B$8,0)</f>
        <v>0</v>
      </c>
      <c r="H84" s="10" t="n">
        <f aca="false">MIN(E84,B84)</f>
        <v>17</v>
      </c>
      <c r="I84" s="10" t="n">
        <f aca="false">MAX(0,B84-E84)</f>
        <v>0</v>
      </c>
      <c r="J84" s="10" t="n">
        <f aca="false">E84-H84</f>
        <v>2040</v>
      </c>
      <c r="K84" s="10" t="n">
        <f aca="false">J84*$B$10</f>
        <v>44.7123287671233</v>
      </c>
      <c r="L84" s="10" t="n">
        <f aca="false">IF(F84="是",$B$11,0)</f>
        <v>0</v>
      </c>
      <c r="M84" s="10" t="n">
        <f aca="false">I84*$B$12</f>
        <v>0</v>
      </c>
    </row>
    <row r="85" customFormat="false" ht="15" hidden="false" customHeight="false" outlineLevel="0" collapsed="false">
      <c r="A85" s="12" t="n">
        <v>67</v>
      </c>
      <c r="B85" s="10" t="n">
        <f aca="true">ROUND(MAX(0,NORMINV(RAND(),$B$5,$B$6)),0)</f>
        <v>10</v>
      </c>
      <c r="C85" s="10" t="n">
        <f aca="false">J84</f>
        <v>2040</v>
      </c>
      <c r="D85" s="10" t="n">
        <f aca="false">IF(ROW()-$B$7&gt;=19,INDEX($G$19:$G$108,ROW()-$B$7-19+1),0)</f>
        <v>0</v>
      </c>
      <c r="E85" s="10" t="n">
        <f aca="false">C85+D85</f>
        <v>2040</v>
      </c>
      <c r="F85" s="10" t="str">
        <f aca="false">IF(E85&lt;=$B$9,"是","否")</f>
        <v>否</v>
      </c>
      <c r="G85" s="10" t="n">
        <f aca="false">IF(F85="是",$B$8,0)</f>
        <v>0</v>
      </c>
      <c r="H85" s="10" t="n">
        <f aca="false">MIN(E85,B85)</f>
        <v>10</v>
      </c>
      <c r="I85" s="10" t="n">
        <f aca="false">MAX(0,B85-E85)</f>
        <v>0</v>
      </c>
      <c r="J85" s="10" t="n">
        <f aca="false">E85-H85</f>
        <v>2030</v>
      </c>
      <c r="K85" s="10" t="n">
        <f aca="false">J85*$B$10</f>
        <v>44.4931506849315</v>
      </c>
      <c r="L85" s="10" t="n">
        <f aca="false">IF(F85="是",$B$11,0)</f>
        <v>0</v>
      </c>
      <c r="M85" s="10" t="n">
        <f aca="false">I85*$B$12</f>
        <v>0</v>
      </c>
    </row>
    <row r="86" customFormat="false" ht="15" hidden="false" customHeight="false" outlineLevel="0" collapsed="false">
      <c r="A86" s="12" t="n">
        <v>68</v>
      </c>
      <c r="B86" s="10" t="n">
        <f aca="true">ROUND(MAX(0,NORMINV(RAND(),$B$5,$B$6)),0)</f>
        <v>9</v>
      </c>
      <c r="C86" s="10" t="n">
        <f aca="false">J85</f>
        <v>2030</v>
      </c>
      <c r="D86" s="10" t="n">
        <f aca="false">IF(ROW()-$B$7&gt;=19,INDEX($G$19:$G$108,ROW()-$B$7-19+1),0)</f>
        <v>0</v>
      </c>
      <c r="E86" s="10" t="n">
        <f aca="false">C86+D86</f>
        <v>2030</v>
      </c>
      <c r="F86" s="10" t="str">
        <f aca="false">IF(E86&lt;=$B$9,"是","否")</f>
        <v>否</v>
      </c>
      <c r="G86" s="10" t="n">
        <f aca="false">IF(F86="是",$B$8,0)</f>
        <v>0</v>
      </c>
      <c r="H86" s="10" t="n">
        <f aca="false">MIN(E86,B86)</f>
        <v>9</v>
      </c>
      <c r="I86" s="10" t="n">
        <f aca="false">MAX(0,B86-E86)</f>
        <v>0</v>
      </c>
      <c r="J86" s="10" t="n">
        <f aca="false">E86-H86</f>
        <v>2021</v>
      </c>
      <c r="K86" s="10" t="n">
        <f aca="false">J86*$B$10</f>
        <v>44.2958904109589</v>
      </c>
      <c r="L86" s="10" t="n">
        <f aca="false">IF(F86="是",$B$11,0)</f>
        <v>0</v>
      </c>
      <c r="M86" s="10" t="n">
        <f aca="false">I86*$B$12</f>
        <v>0</v>
      </c>
    </row>
    <row r="87" customFormat="false" ht="15" hidden="false" customHeight="false" outlineLevel="0" collapsed="false">
      <c r="A87" s="12" t="n">
        <v>69</v>
      </c>
      <c r="B87" s="10" t="n">
        <f aca="true">ROUND(MAX(0,NORMINV(RAND(),$B$5,$B$6)),0)</f>
        <v>19</v>
      </c>
      <c r="C87" s="10" t="n">
        <f aca="false">J86</f>
        <v>2021</v>
      </c>
      <c r="D87" s="10" t="n">
        <f aca="false">IF(ROW()-$B$7&gt;=19,INDEX($G$19:$G$108,ROW()-$B$7-19+1),0)</f>
        <v>0</v>
      </c>
      <c r="E87" s="10" t="n">
        <f aca="false">C87+D87</f>
        <v>2021</v>
      </c>
      <c r="F87" s="10" t="str">
        <f aca="false">IF(E87&lt;=$B$9,"是","否")</f>
        <v>否</v>
      </c>
      <c r="G87" s="10" t="n">
        <f aca="false">IF(F87="是",$B$8,0)</f>
        <v>0</v>
      </c>
      <c r="H87" s="10" t="n">
        <f aca="false">MIN(E87,B87)</f>
        <v>19</v>
      </c>
      <c r="I87" s="10" t="n">
        <f aca="false">MAX(0,B87-E87)</f>
        <v>0</v>
      </c>
      <c r="J87" s="10" t="n">
        <f aca="false">E87-H87</f>
        <v>2002</v>
      </c>
      <c r="K87" s="10" t="n">
        <f aca="false">J87*$B$10</f>
        <v>43.8794520547945</v>
      </c>
      <c r="L87" s="10" t="n">
        <f aca="false">IF(F87="是",$B$11,0)</f>
        <v>0</v>
      </c>
      <c r="M87" s="10" t="n">
        <f aca="false">I87*$B$12</f>
        <v>0</v>
      </c>
    </row>
    <row r="88" customFormat="false" ht="15" hidden="false" customHeight="false" outlineLevel="0" collapsed="false">
      <c r="A88" s="12" t="n">
        <v>70</v>
      </c>
      <c r="B88" s="10" t="n">
        <f aca="true">ROUND(MAX(0,NORMINV(RAND(),$B$5,$B$6)),0)</f>
        <v>19</v>
      </c>
      <c r="C88" s="10" t="n">
        <f aca="false">J87</f>
        <v>2002</v>
      </c>
      <c r="D88" s="10" t="n">
        <f aca="false">IF(ROW()-$B$7&gt;=19,INDEX($G$19:$G$108,ROW()-$B$7-19+1),0)</f>
        <v>0</v>
      </c>
      <c r="E88" s="10" t="n">
        <f aca="false">C88+D88</f>
        <v>2002</v>
      </c>
      <c r="F88" s="10" t="str">
        <f aca="false">IF(E88&lt;=$B$9,"是","否")</f>
        <v>否</v>
      </c>
      <c r="G88" s="10" t="n">
        <f aca="false">IF(F88="是",$B$8,0)</f>
        <v>0</v>
      </c>
      <c r="H88" s="10" t="n">
        <f aca="false">MIN(E88,B88)</f>
        <v>19</v>
      </c>
      <c r="I88" s="10" t="n">
        <f aca="false">MAX(0,B88-E88)</f>
        <v>0</v>
      </c>
      <c r="J88" s="10" t="n">
        <f aca="false">E88-H88</f>
        <v>1983</v>
      </c>
      <c r="K88" s="10" t="n">
        <f aca="false">J88*$B$10</f>
        <v>43.4630136986301</v>
      </c>
      <c r="L88" s="10" t="n">
        <f aca="false">IF(F88="是",$B$11,0)</f>
        <v>0</v>
      </c>
      <c r="M88" s="10" t="n">
        <f aca="false">I88*$B$12</f>
        <v>0</v>
      </c>
    </row>
    <row r="89" customFormat="false" ht="15" hidden="false" customHeight="false" outlineLevel="0" collapsed="false">
      <c r="A89" s="12" t="n">
        <v>71</v>
      </c>
      <c r="B89" s="10" t="n">
        <f aca="true">ROUND(MAX(0,NORMINV(RAND(),$B$5,$B$6)),0)</f>
        <v>16</v>
      </c>
      <c r="C89" s="10" t="n">
        <f aca="false">J88</f>
        <v>1983</v>
      </c>
      <c r="D89" s="10" t="n">
        <f aca="false">IF(ROW()-$B$7&gt;=19,INDEX($G$19:$G$108,ROW()-$B$7-19+1),0)</f>
        <v>0</v>
      </c>
      <c r="E89" s="10" t="n">
        <f aca="false">C89+D89</f>
        <v>1983</v>
      </c>
      <c r="F89" s="10" t="str">
        <f aca="false">IF(E89&lt;=$B$9,"是","否")</f>
        <v>否</v>
      </c>
      <c r="G89" s="10" t="n">
        <f aca="false">IF(F89="是",$B$8,0)</f>
        <v>0</v>
      </c>
      <c r="H89" s="10" t="n">
        <f aca="false">MIN(E89,B89)</f>
        <v>16</v>
      </c>
      <c r="I89" s="10" t="n">
        <f aca="false">MAX(0,B89-E89)</f>
        <v>0</v>
      </c>
      <c r="J89" s="10" t="n">
        <f aca="false">E89-H89</f>
        <v>1967</v>
      </c>
      <c r="K89" s="10" t="n">
        <f aca="false">J89*$B$10</f>
        <v>43.1123287671233</v>
      </c>
      <c r="L89" s="10" t="n">
        <f aca="false">IF(F89="是",$B$11,0)</f>
        <v>0</v>
      </c>
      <c r="M89" s="10" t="n">
        <f aca="false">I89*$B$12</f>
        <v>0</v>
      </c>
    </row>
    <row r="90" customFormat="false" ht="15" hidden="false" customHeight="false" outlineLevel="0" collapsed="false">
      <c r="A90" s="12" t="n">
        <v>72</v>
      </c>
      <c r="B90" s="10" t="n">
        <f aca="true">ROUND(MAX(0,NORMINV(RAND(),$B$5,$B$6)),0)</f>
        <v>16</v>
      </c>
      <c r="C90" s="10" t="n">
        <f aca="false">J89</f>
        <v>1967</v>
      </c>
      <c r="D90" s="10" t="n">
        <f aca="false">IF(ROW()-$B$7&gt;=19,INDEX($G$19:$G$108,ROW()-$B$7-19+1),0)</f>
        <v>0</v>
      </c>
      <c r="E90" s="10" t="n">
        <f aca="false">C90+D90</f>
        <v>1967</v>
      </c>
      <c r="F90" s="10" t="str">
        <f aca="false">IF(E90&lt;=$B$9,"是","否")</f>
        <v>否</v>
      </c>
      <c r="G90" s="10" t="n">
        <f aca="false">IF(F90="是",$B$8,0)</f>
        <v>0</v>
      </c>
      <c r="H90" s="10" t="n">
        <f aca="false">MIN(E90,B90)</f>
        <v>16</v>
      </c>
      <c r="I90" s="10" t="n">
        <f aca="false">MAX(0,B90-E90)</f>
        <v>0</v>
      </c>
      <c r="J90" s="10" t="n">
        <f aca="false">E90-H90</f>
        <v>1951</v>
      </c>
      <c r="K90" s="10" t="n">
        <f aca="false">J90*$B$10</f>
        <v>42.7616438356164</v>
      </c>
      <c r="L90" s="10" t="n">
        <f aca="false">IF(F90="是",$B$11,0)</f>
        <v>0</v>
      </c>
      <c r="M90" s="10" t="n">
        <f aca="false">I90*$B$12</f>
        <v>0</v>
      </c>
    </row>
    <row r="91" customFormat="false" ht="15" hidden="false" customHeight="false" outlineLevel="0" collapsed="false">
      <c r="A91" s="12" t="n">
        <v>73</v>
      </c>
      <c r="B91" s="10" t="n">
        <f aca="true">ROUND(MAX(0,NORMINV(RAND(),$B$5,$B$6)),0)</f>
        <v>17</v>
      </c>
      <c r="C91" s="10" t="n">
        <f aca="false">J90</f>
        <v>1951</v>
      </c>
      <c r="D91" s="10" t="n">
        <f aca="false">IF(ROW()-$B$7&gt;=19,INDEX($G$19:$G$108,ROW()-$B$7-19+1),0)</f>
        <v>0</v>
      </c>
      <c r="E91" s="10" t="n">
        <f aca="false">C91+D91</f>
        <v>1951</v>
      </c>
      <c r="F91" s="10" t="str">
        <f aca="false">IF(E91&lt;=$B$9,"是","否")</f>
        <v>否</v>
      </c>
      <c r="G91" s="10" t="n">
        <f aca="false">IF(F91="是",$B$8,0)</f>
        <v>0</v>
      </c>
      <c r="H91" s="10" t="n">
        <f aca="false">MIN(E91,B91)</f>
        <v>17</v>
      </c>
      <c r="I91" s="10" t="n">
        <f aca="false">MAX(0,B91-E91)</f>
        <v>0</v>
      </c>
      <c r="J91" s="10" t="n">
        <f aca="false">E91-H91</f>
        <v>1934</v>
      </c>
      <c r="K91" s="10" t="n">
        <f aca="false">J91*$B$10</f>
        <v>42.3890410958904</v>
      </c>
      <c r="L91" s="10" t="n">
        <f aca="false">IF(F91="是",$B$11,0)</f>
        <v>0</v>
      </c>
      <c r="M91" s="10" t="n">
        <f aca="false">I91*$B$12</f>
        <v>0</v>
      </c>
    </row>
    <row r="92" customFormat="false" ht="15" hidden="false" customHeight="false" outlineLevel="0" collapsed="false">
      <c r="A92" s="12" t="n">
        <v>74</v>
      </c>
      <c r="B92" s="10" t="n">
        <f aca="true">ROUND(MAX(0,NORMINV(RAND(),$B$5,$B$6)),0)</f>
        <v>18</v>
      </c>
      <c r="C92" s="10" t="n">
        <f aca="false">J91</f>
        <v>1934</v>
      </c>
      <c r="D92" s="10" t="n">
        <f aca="false">IF(ROW()-$B$7&gt;=19,INDEX($G$19:$G$108,ROW()-$B$7-19+1),0)</f>
        <v>0</v>
      </c>
      <c r="E92" s="10" t="n">
        <f aca="false">C92+D92</f>
        <v>1934</v>
      </c>
      <c r="F92" s="10" t="str">
        <f aca="false">IF(E92&lt;=$B$9,"是","否")</f>
        <v>否</v>
      </c>
      <c r="G92" s="10" t="n">
        <f aca="false">IF(F92="是",$B$8,0)</f>
        <v>0</v>
      </c>
      <c r="H92" s="10" t="n">
        <f aca="false">MIN(E92,B92)</f>
        <v>18</v>
      </c>
      <c r="I92" s="10" t="n">
        <f aca="false">MAX(0,B92-E92)</f>
        <v>0</v>
      </c>
      <c r="J92" s="10" t="n">
        <f aca="false">E92-H92</f>
        <v>1916</v>
      </c>
      <c r="K92" s="10" t="n">
        <f aca="false">J92*$B$10</f>
        <v>41.9945205479452</v>
      </c>
      <c r="L92" s="10" t="n">
        <f aca="false">IF(F92="是",$B$11,0)</f>
        <v>0</v>
      </c>
      <c r="M92" s="10" t="n">
        <f aca="false">I92*$B$12</f>
        <v>0</v>
      </c>
    </row>
    <row r="93" customFormat="false" ht="15" hidden="false" customHeight="false" outlineLevel="0" collapsed="false">
      <c r="A93" s="12" t="n">
        <v>75</v>
      </c>
      <c r="B93" s="10" t="n">
        <f aca="true">ROUND(MAX(0,NORMINV(RAND(),$B$5,$B$6)),0)</f>
        <v>17</v>
      </c>
      <c r="C93" s="10" t="n">
        <f aca="false">J92</f>
        <v>1916</v>
      </c>
      <c r="D93" s="10" t="n">
        <f aca="false">IF(ROW()-$B$7&gt;=19,INDEX($G$19:$G$108,ROW()-$B$7-19+1),0)</f>
        <v>0</v>
      </c>
      <c r="E93" s="10" t="n">
        <f aca="false">C93+D93</f>
        <v>1916</v>
      </c>
      <c r="F93" s="10" t="str">
        <f aca="false">IF(E93&lt;=$B$9,"是","否")</f>
        <v>否</v>
      </c>
      <c r="G93" s="10" t="n">
        <f aca="false">IF(F93="是",$B$8,0)</f>
        <v>0</v>
      </c>
      <c r="H93" s="10" t="n">
        <f aca="false">MIN(E93,B93)</f>
        <v>17</v>
      </c>
      <c r="I93" s="10" t="n">
        <f aca="false">MAX(0,B93-E93)</f>
        <v>0</v>
      </c>
      <c r="J93" s="10" t="n">
        <f aca="false">E93-H93</f>
        <v>1899</v>
      </c>
      <c r="K93" s="10" t="n">
        <f aca="false">J93*$B$10</f>
        <v>41.6219178082192</v>
      </c>
      <c r="L93" s="10" t="n">
        <f aca="false">IF(F93="是",$B$11,0)</f>
        <v>0</v>
      </c>
      <c r="M93" s="10" t="n">
        <f aca="false">I93*$B$12</f>
        <v>0</v>
      </c>
    </row>
    <row r="94" customFormat="false" ht="15" hidden="false" customHeight="false" outlineLevel="0" collapsed="false">
      <c r="A94" s="12" t="n">
        <v>76</v>
      </c>
      <c r="B94" s="10" t="n">
        <f aca="true">ROUND(MAX(0,NORMINV(RAND(),$B$5,$B$6)),0)</f>
        <v>15</v>
      </c>
      <c r="C94" s="10" t="n">
        <f aca="false">J93</f>
        <v>1899</v>
      </c>
      <c r="D94" s="10" t="n">
        <f aca="false">IF(ROW()-$B$7&gt;=19,INDEX($G$19:$G$108,ROW()-$B$7-19+1),0)</f>
        <v>0</v>
      </c>
      <c r="E94" s="10" t="n">
        <f aca="false">C94+D94</f>
        <v>1899</v>
      </c>
      <c r="F94" s="10" t="str">
        <f aca="false">IF(E94&lt;=$B$9,"是","否")</f>
        <v>否</v>
      </c>
      <c r="G94" s="10" t="n">
        <f aca="false">IF(F94="是",$B$8,0)</f>
        <v>0</v>
      </c>
      <c r="H94" s="10" t="n">
        <f aca="false">MIN(E94,B94)</f>
        <v>15</v>
      </c>
      <c r="I94" s="10" t="n">
        <f aca="false">MAX(0,B94-E94)</f>
        <v>0</v>
      </c>
      <c r="J94" s="10" t="n">
        <f aca="false">E94-H94</f>
        <v>1884</v>
      </c>
      <c r="K94" s="10" t="n">
        <f aca="false">J94*$B$10</f>
        <v>41.2931506849315</v>
      </c>
      <c r="L94" s="10" t="n">
        <f aca="false">IF(F94="是",$B$11,0)</f>
        <v>0</v>
      </c>
      <c r="M94" s="10" t="n">
        <f aca="false">I94*$B$12</f>
        <v>0</v>
      </c>
    </row>
    <row r="95" customFormat="false" ht="15" hidden="false" customHeight="false" outlineLevel="0" collapsed="false">
      <c r="A95" s="12" t="n">
        <v>77</v>
      </c>
      <c r="B95" s="10" t="n">
        <f aca="true">ROUND(MAX(0,NORMINV(RAND(),$B$5,$B$6)),0)</f>
        <v>14</v>
      </c>
      <c r="C95" s="10" t="n">
        <f aca="false">J94</f>
        <v>1884</v>
      </c>
      <c r="D95" s="10" t="n">
        <f aca="false">IF(ROW()-$B$7&gt;=19,INDEX($G$19:$G$108,ROW()-$B$7-19+1),0)</f>
        <v>0</v>
      </c>
      <c r="E95" s="10" t="n">
        <f aca="false">C95+D95</f>
        <v>1884</v>
      </c>
      <c r="F95" s="10" t="str">
        <f aca="false">IF(E95&lt;=$B$9,"是","否")</f>
        <v>否</v>
      </c>
      <c r="G95" s="10" t="n">
        <f aca="false">IF(F95="是",$B$8,0)</f>
        <v>0</v>
      </c>
      <c r="H95" s="10" t="n">
        <f aca="false">MIN(E95,B95)</f>
        <v>14</v>
      </c>
      <c r="I95" s="10" t="n">
        <f aca="false">MAX(0,B95-E95)</f>
        <v>0</v>
      </c>
      <c r="J95" s="10" t="n">
        <f aca="false">E95-H95</f>
        <v>1870</v>
      </c>
      <c r="K95" s="10" t="n">
        <f aca="false">J95*$B$10</f>
        <v>40.986301369863</v>
      </c>
      <c r="L95" s="10" t="n">
        <f aca="false">IF(F95="是",$B$11,0)</f>
        <v>0</v>
      </c>
      <c r="M95" s="10" t="n">
        <f aca="false">I95*$B$12</f>
        <v>0</v>
      </c>
    </row>
    <row r="96" customFormat="false" ht="15" hidden="false" customHeight="false" outlineLevel="0" collapsed="false">
      <c r="A96" s="12" t="n">
        <v>78</v>
      </c>
      <c r="B96" s="10" t="n">
        <f aca="true">ROUND(MAX(0,NORMINV(RAND(),$B$5,$B$6)),0)</f>
        <v>12</v>
      </c>
      <c r="C96" s="10" t="n">
        <f aca="false">J95</f>
        <v>1870</v>
      </c>
      <c r="D96" s="10" t="n">
        <f aca="false">IF(ROW()-$B$7&gt;=19,INDEX($G$19:$G$108,ROW()-$B$7-19+1),0)</f>
        <v>0</v>
      </c>
      <c r="E96" s="10" t="n">
        <f aca="false">C96+D96</f>
        <v>1870</v>
      </c>
      <c r="F96" s="10" t="str">
        <f aca="false">IF(E96&lt;=$B$9,"是","否")</f>
        <v>否</v>
      </c>
      <c r="G96" s="10" t="n">
        <f aca="false">IF(F96="是",$B$8,0)</f>
        <v>0</v>
      </c>
      <c r="H96" s="10" t="n">
        <f aca="false">MIN(E96,B96)</f>
        <v>12</v>
      </c>
      <c r="I96" s="10" t="n">
        <f aca="false">MAX(0,B96-E96)</f>
        <v>0</v>
      </c>
      <c r="J96" s="10" t="n">
        <f aca="false">E96-H96</f>
        <v>1858</v>
      </c>
      <c r="K96" s="10" t="n">
        <f aca="false">J96*$B$10</f>
        <v>40.7232876712329</v>
      </c>
      <c r="L96" s="10" t="n">
        <f aca="false">IF(F96="是",$B$11,0)</f>
        <v>0</v>
      </c>
      <c r="M96" s="10" t="n">
        <f aca="false">I96*$B$12</f>
        <v>0</v>
      </c>
    </row>
    <row r="97" customFormat="false" ht="15" hidden="false" customHeight="false" outlineLevel="0" collapsed="false">
      <c r="A97" s="12" t="n">
        <v>79</v>
      </c>
      <c r="B97" s="10" t="n">
        <f aca="true">ROUND(MAX(0,NORMINV(RAND(),$B$5,$B$6)),0)</f>
        <v>19</v>
      </c>
      <c r="C97" s="10" t="n">
        <f aca="false">J96</f>
        <v>1858</v>
      </c>
      <c r="D97" s="10" t="n">
        <f aca="false">IF(ROW()-$B$7&gt;=19,INDEX($G$19:$G$108,ROW()-$B$7-19+1),0)</f>
        <v>0</v>
      </c>
      <c r="E97" s="10" t="n">
        <f aca="false">C97+D97</f>
        <v>1858</v>
      </c>
      <c r="F97" s="10" t="str">
        <f aca="false">IF(E97&lt;=$B$9,"是","否")</f>
        <v>否</v>
      </c>
      <c r="G97" s="10" t="n">
        <f aca="false">IF(F97="是",$B$8,0)</f>
        <v>0</v>
      </c>
      <c r="H97" s="10" t="n">
        <f aca="false">MIN(E97,B97)</f>
        <v>19</v>
      </c>
      <c r="I97" s="10" t="n">
        <f aca="false">MAX(0,B97-E97)</f>
        <v>0</v>
      </c>
      <c r="J97" s="10" t="n">
        <f aca="false">E97-H97</f>
        <v>1839</v>
      </c>
      <c r="K97" s="10" t="n">
        <f aca="false">J97*$B$10</f>
        <v>40.3068493150685</v>
      </c>
      <c r="L97" s="10" t="n">
        <f aca="false">IF(F97="是",$B$11,0)</f>
        <v>0</v>
      </c>
      <c r="M97" s="10" t="n">
        <f aca="false">I97*$B$12</f>
        <v>0</v>
      </c>
    </row>
    <row r="98" customFormat="false" ht="15" hidden="false" customHeight="false" outlineLevel="0" collapsed="false">
      <c r="A98" s="12" t="n">
        <v>80</v>
      </c>
      <c r="B98" s="10" t="n">
        <f aca="true">ROUND(MAX(0,NORMINV(RAND(),$B$5,$B$6)),0)</f>
        <v>10</v>
      </c>
      <c r="C98" s="10" t="n">
        <f aca="false">J97</f>
        <v>1839</v>
      </c>
      <c r="D98" s="10" t="n">
        <f aca="false">IF(ROW()-$B$7&gt;=19,INDEX($G$19:$G$108,ROW()-$B$7-19+1),0)</f>
        <v>0</v>
      </c>
      <c r="E98" s="10" t="n">
        <f aca="false">C98+D98</f>
        <v>1839</v>
      </c>
      <c r="F98" s="10" t="str">
        <f aca="false">IF(E98&lt;=$B$9,"是","否")</f>
        <v>否</v>
      </c>
      <c r="G98" s="10" t="n">
        <f aca="false">IF(F98="是",$B$8,0)</f>
        <v>0</v>
      </c>
      <c r="H98" s="10" t="n">
        <f aca="false">MIN(E98,B98)</f>
        <v>10</v>
      </c>
      <c r="I98" s="10" t="n">
        <f aca="false">MAX(0,B98-E98)</f>
        <v>0</v>
      </c>
      <c r="J98" s="10" t="n">
        <f aca="false">E98-H98</f>
        <v>1829</v>
      </c>
      <c r="K98" s="10" t="n">
        <f aca="false">J98*$B$10</f>
        <v>40.0876712328767</v>
      </c>
      <c r="L98" s="10" t="n">
        <f aca="false">IF(F98="是",$B$11,0)</f>
        <v>0</v>
      </c>
      <c r="M98" s="10" t="n">
        <f aca="false">I98*$B$12</f>
        <v>0</v>
      </c>
    </row>
    <row r="99" customFormat="false" ht="15" hidden="false" customHeight="false" outlineLevel="0" collapsed="false">
      <c r="A99" s="12" t="n">
        <v>81</v>
      </c>
      <c r="B99" s="10" t="n">
        <f aca="true">ROUND(MAX(0,NORMINV(RAND(),$B$5,$B$6)),0)</f>
        <v>20</v>
      </c>
      <c r="C99" s="10" t="n">
        <f aca="false">J98</f>
        <v>1829</v>
      </c>
      <c r="D99" s="10" t="n">
        <f aca="false">IF(ROW()-$B$7&gt;=19,INDEX($G$19:$G$108,ROW()-$B$7-19+1),0)</f>
        <v>0</v>
      </c>
      <c r="E99" s="10" t="n">
        <f aca="false">C99+D99</f>
        <v>1829</v>
      </c>
      <c r="F99" s="10" t="str">
        <f aca="false">IF(E99&lt;=$B$9,"是","否")</f>
        <v>否</v>
      </c>
      <c r="G99" s="10" t="n">
        <f aca="false">IF(F99="是",$B$8,0)</f>
        <v>0</v>
      </c>
      <c r="H99" s="10" t="n">
        <f aca="false">MIN(E99,B99)</f>
        <v>20</v>
      </c>
      <c r="I99" s="10" t="n">
        <f aca="false">MAX(0,B99-E99)</f>
        <v>0</v>
      </c>
      <c r="J99" s="10" t="n">
        <f aca="false">E99-H99</f>
        <v>1809</v>
      </c>
      <c r="K99" s="10" t="n">
        <f aca="false">J99*$B$10</f>
        <v>39.6493150684931</v>
      </c>
      <c r="L99" s="10" t="n">
        <f aca="false">IF(F99="是",$B$11,0)</f>
        <v>0</v>
      </c>
      <c r="M99" s="10" t="n">
        <f aca="false">I99*$B$12</f>
        <v>0</v>
      </c>
    </row>
    <row r="100" customFormat="false" ht="15" hidden="false" customHeight="false" outlineLevel="0" collapsed="false">
      <c r="A100" s="12" t="n">
        <v>82</v>
      </c>
      <c r="B100" s="10" t="n">
        <f aca="true">ROUND(MAX(0,NORMINV(RAND(),$B$5,$B$6)),0)</f>
        <v>13</v>
      </c>
      <c r="C100" s="10" t="n">
        <f aca="false">J99</f>
        <v>1809</v>
      </c>
      <c r="D100" s="10" t="n">
        <f aca="false">IF(ROW()-$B$7&gt;=19,INDEX($G$19:$G$108,ROW()-$B$7-19+1),0)</f>
        <v>0</v>
      </c>
      <c r="E100" s="10" t="n">
        <f aca="false">C100+D100</f>
        <v>1809</v>
      </c>
      <c r="F100" s="10" t="str">
        <f aca="false">IF(E100&lt;=$B$9,"是","否")</f>
        <v>否</v>
      </c>
      <c r="G100" s="10" t="n">
        <f aca="false">IF(F100="是",$B$8,0)</f>
        <v>0</v>
      </c>
      <c r="H100" s="10" t="n">
        <f aca="false">MIN(E100,B100)</f>
        <v>13</v>
      </c>
      <c r="I100" s="10" t="n">
        <f aca="false">MAX(0,B100-E100)</f>
        <v>0</v>
      </c>
      <c r="J100" s="10" t="n">
        <f aca="false">E100-H100</f>
        <v>1796</v>
      </c>
      <c r="K100" s="10" t="n">
        <f aca="false">J100*$B$10</f>
        <v>39.3643835616438</v>
      </c>
      <c r="L100" s="10" t="n">
        <f aca="false">IF(F100="是",$B$11,0)</f>
        <v>0</v>
      </c>
      <c r="M100" s="10" t="n">
        <f aca="false">I100*$B$12</f>
        <v>0</v>
      </c>
    </row>
    <row r="101" customFormat="false" ht="15" hidden="false" customHeight="false" outlineLevel="0" collapsed="false">
      <c r="A101" s="12" t="n">
        <v>83</v>
      </c>
      <c r="B101" s="10" t="n">
        <f aca="true">ROUND(MAX(0,NORMINV(RAND(),$B$5,$B$6)),0)</f>
        <v>14</v>
      </c>
      <c r="C101" s="10" t="n">
        <f aca="false">J100</f>
        <v>1796</v>
      </c>
      <c r="D101" s="10" t="n">
        <f aca="false">IF(ROW()-$B$7&gt;=19,INDEX($G$19:$G$108,ROW()-$B$7-19+1),0)</f>
        <v>0</v>
      </c>
      <c r="E101" s="10" t="n">
        <f aca="false">C101+D101</f>
        <v>1796</v>
      </c>
      <c r="F101" s="10" t="str">
        <f aca="false">IF(E101&lt;=$B$9,"是","否")</f>
        <v>否</v>
      </c>
      <c r="G101" s="10" t="n">
        <f aca="false">IF(F101="是",$B$8,0)</f>
        <v>0</v>
      </c>
      <c r="H101" s="10" t="n">
        <f aca="false">MIN(E101,B101)</f>
        <v>14</v>
      </c>
      <c r="I101" s="10" t="n">
        <f aca="false">MAX(0,B101-E101)</f>
        <v>0</v>
      </c>
      <c r="J101" s="10" t="n">
        <f aca="false">E101-H101</f>
        <v>1782</v>
      </c>
      <c r="K101" s="10" t="n">
        <f aca="false">J101*$B$10</f>
        <v>39.0575342465753</v>
      </c>
      <c r="L101" s="10" t="n">
        <f aca="false">IF(F101="是",$B$11,0)</f>
        <v>0</v>
      </c>
      <c r="M101" s="10" t="n">
        <f aca="false">I101*$B$12</f>
        <v>0</v>
      </c>
    </row>
    <row r="102" customFormat="false" ht="15" hidden="false" customHeight="false" outlineLevel="0" collapsed="false">
      <c r="A102" s="12" t="n">
        <v>84</v>
      </c>
      <c r="B102" s="10" t="n">
        <f aca="true">ROUND(MAX(0,NORMINV(RAND(),$B$5,$B$6)),0)</f>
        <v>23</v>
      </c>
      <c r="C102" s="10" t="n">
        <f aca="false">J101</f>
        <v>1782</v>
      </c>
      <c r="D102" s="10" t="n">
        <f aca="false">IF(ROW()-$B$7&gt;=19,INDEX($G$19:$G$108,ROW()-$B$7-19+1),0)</f>
        <v>0</v>
      </c>
      <c r="E102" s="10" t="n">
        <f aca="false">C102+D102</f>
        <v>1782</v>
      </c>
      <c r="F102" s="10" t="str">
        <f aca="false">IF(E102&lt;=$B$9,"是","否")</f>
        <v>否</v>
      </c>
      <c r="G102" s="10" t="n">
        <f aca="false">IF(F102="是",$B$8,0)</f>
        <v>0</v>
      </c>
      <c r="H102" s="10" t="n">
        <f aca="false">MIN(E102,B102)</f>
        <v>23</v>
      </c>
      <c r="I102" s="10" t="n">
        <f aca="false">MAX(0,B102-E102)</f>
        <v>0</v>
      </c>
      <c r="J102" s="10" t="n">
        <f aca="false">E102-H102</f>
        <v>1759</v>
      </c>
      <c r="K102" s="10" t="n">
        <f aca="false">J102*$B$10</f>
        <v>38.5534246575342</v>
      </c>
      <c r="L102" s="10" t="n">
        <f aca="false">IF(F102="是",$B$11,0)</f>
        <v>0</v>
      </c>
      <c r="M102" s="10" t="n">
        <f aca="false">I102*$B$12</f>
        <v>0</v>
      </c>
    </row>
    <row r="103" customFormat="false" ht="15" hidden="false" customHeight="false" outlineLevel="0" collapsed="false">
      <c r="A103" s="12" t="n">
        <v>85</v>
      </c>
      <c r="B103" s="10" t="n">
        <f aca="true">ROUND(MAX(0,NORMINV(RAND(),$B$5,$B$6)),0)</f>
        <v>11</v>
      </c>
      <c r="C103" s="10" t="n">
        <f aca="false">J102</f>
        <v>1759</v>
      </c>
      <c r="D103" s="10" t="n">
        <f aca="false">IF(ROW()-$B$7&gt;=19,INDEX($G$19:$G$108,ROW()-$B$7-19+1),0)</f>
        <v>0</v>
      </c>
      <c r="E103" s="10" t="n">
        <f aca="false">C103+D103</f>
        <v>1759</v>
      </c>
      <c r="F103" s="10" t="str">
        <f aca="false">IF(E103&lt;=$B$9,"是","否")</f>
        <v>否</v>
      </c>
      <c r="G103" s="10" t="n">
        <f aca="false">IF(F103="是",$B$8,0)</f>
        <v>0</v>
      </c>
      <c r="H103" s="10" t="n">
        <f aca="false">MIN(E103,B103)</f>
        <v>11</v>
      </c>
      <c r="I103" s="10" t="n">
        <f aca="false">MAX(0,B103-E103)</f>
        <v>0</v>
      </c>
      <c r="J103" s="10" t="n">
        <f aca="false">E103-H103</f>
        <v>1748</v>
      </c>
      <c r="K103" s="10" t="n">
        <f aca="false">J103*$B$10</f>
        <v>38.3123287671233</v>
      </c>
      <c r="L103" s="10" t="n">
        <f aca="false">IF(F103="是",$B$11,0)</f>
        <v>0</v>
      </c>
      <c r="M103" s="10" t="n">
        <f aca="false">I103*$B$12</f>
        <v>0</v>
      </c>
    </row>
    <row r="104" customFormat="false" ht="15" hidden="false" customHeight="false" outlineLevel="0" collapsed="false">
      <c r="A104" s="12" t="n">
        <v>86</v>
      </c>
      <c r="B104" s="10" t="n">
        <f aca="true">ROUND(MAX(0,NORMINV(RAND(),$B$5,$B$6)),0)</f>
        <v>19</v>
      </c>
      <c r="C104" s="10" t="n">
        <f aca="false">J103</f>
        <v>1748</v>
      </c>
      <c r="D104" s="10" t="n">
        <f aca="false">IF(ROW()-$B$7&gt;=19,INDEX($G$19:$G$108,ROW()-$B$7-19+1),0)</f>
        <v>0</v>
      </c>
      <c r="E104" s="10" t="n">
        <f aca="false">C104+D104</f>
        <v>1748</v>
      </c>
      <c r="F104" s="10" t="str">
        <f aca="false">IF(E104&lt;=$B$9,"是","否")</f>
        <v>否</v>
      </c>
      <c r="G104" s="10" t="n">
        <f aca="false">IF(F104="是",$B$8,0)</f>
        <v>0</v>
      </c>
      <c r="H104" s="10" t="n">
        <f aca="false">MIN(E104,B104)</f>
        <v>19</v>
      </c>
      <c r="I104" s="10" t="n">
        <f aca="false">MAX(0,B104-E104)</f>
        <v>0</v>
      </c>
      <c r="J104" s="10" t="n">
        <f aca="false">E104-H104</f>
        <v>1729</v>
      </c>
      <c r="K104" s="10" t="n">
        <f aca="false">J104*$B$10</f>
        <v>37.8958904109589</v>
      </c>
      <c r="L104" s="10" t="n">
        <f aca="false">IF(F104="是",$B$11,0)</f>
        <v>0</v>
      </c>
      <c r="M104" s="10" t="n">
        <f aca="false">I104*$B$12</f>
        <v>0</v>
      </c>
    </row>
    <row r="105" customFormat="false" ht="15" hidden="false" customHeight="false" outlineLevel="0" collapsed="false">
      <c r="A105" s="12" t="n">
        <v>87</v>
      </c>
      <c r="B105" s="10" t="n">
        <f aca="true">ROUND(MAX(0,NORMINV(RAND(),$B$5,$B$6)),0)</f>
        <v>14</v>
      </c>
      <c r="C105" s="10" t="n">
        <f aca="false">J104</f>
        <v>1729</v>
      </c>
      <c r="D105" s="10" t="n">
        <f aca="false">IF(ROW()-$B$7&gt;=19,INDEX($G$19:$G$108,ROW()-$B$7-19+1),0)</f>
        <v>0</v>
      </c>
      <c r="E105" s="10" t="n">
        <f aca="false">C105+D105</f>
        <v>1729</v>
      </c>
      <c r="F105" s="10" t="str">
        <f aca="false">IF(E105&lt;=$B$9,"是","否")</f>
        <v>否</v>
      </c>
      <c r="G105" s="10" t="n">
        <f aca="false">IF(F105="是",$B$8,0)</f>
        <v>0</v>
      </c>
      <c r="H105" s="10" t="n">
        <f aca="false">MIN(E105,B105)</f>
        <v>14</v>
      </c>
      <c r="I105" s="10" t="n">
        <f aca="false">MAX(0,B105-E105)</f>
        <v>0</v>
      </c>
      <c r="J105" s="10" t="n">
        <f aca="false">E105-H105</f>
        <v>1715</v>
      </c>
      <c r="K105" s="10" t="n">
        <f aca="false">J105*$B$10</f>
        <v>37.5890410958904</v>
      </c>
      <c r="L105" s="10" t="n">
        <f aca="false">IF(F105="是",$B$11,0)</f>
        <v>0</v>
      </c>
      <c r="M105" s="10" t="n">
        <f aca="false">I105*$B$12</f>
        <v>0</v>
      </c>
    </row>
    <row r="106" customFormat="false" ht="15" hidden="false" customHeight="false" outlineLevel="0" collapsed="false">
      <c r="A106" s="12" t="n">
        <v>88</v>
      </c>
      <c r="B106" s="10" t="n">
        <f aca="true">ROUND(MAX(0,NORMINV(RAND(),$B$5,$B$6)),0)</f>
        <v>15</v>
      </c>
      <c r="C106" s="10" t="n">
        <f aca="false">J105</f>
        <v>1715</v>
      </c>
      <c r="D106" s="10" t="n">
        <f aca="false">IF(ROW()-$B$7&gt;=19,INDEX($G$19:$G$108,ROW()-$B$7-19+1),0)</f>
        <v>0</v>
      </c>
      <c r="E106" s="10" t="n">
        <f aca="false">C106+D106</f>
        <v>1715</v>
      </c>
      <c r="F106" s="10" t="str">
        <f aca="false">IF(E106&lt;=$B$9,"是","否")</f>
        <v>否</v>
      </c>
      <c r="G106" s="10" t="n">
        <f aca="false">IF(F106="是",$B$8,0)</f>
        <v>0</v>
      </c>
      <c r="H106" s="10" t="n">
        <f aca="false">MIN(E106,B106)</f>
        <v>15</v>
      </c>
      <c r="I106" s="10" t="n">
        <f aca="false">MAX(0,B106-E106)</f>
        <v>0</v>
      </c>
      <c r="J106" s="10" t="n">
        <f aca="false">E106-H106</f>
        <v>1700</v>
      </c>
      <c r="K106" s="10" t="n">
        <f aca="false">J106*$B$10</f>
        <v>37.2602739726027</v>
      </c>
      <c r="L106" s="10" t="n">
        <f aca="false">IF(F106="是",$B$11,0)</f>
        <v>0</v>
      </c>
      <c r="M106" s="10" t="n">
        <f aca="false">I106*$B$12</f>
        <v>0</v>
      </c>
    </row>
    <row r="107" customFormat="false" ht="15" hidden="false" customHeight="false" outlineLevel="0" collapsed="false">
      <c r="A107" s="12" t="n">
        <v>89</v>
      </c>
      <c r="B107" s="10" t="n">
        <f aca="true">ROUND(MAX(0,NORMINV(RAND(),$B$5,$B$6)),0)</f>
        <v>17</v>
      </c>
      <c r="C107" s="10" t="n">
        <f aca="false">J106</f>
        <v>1700</v>
      </c>
      <c r="D107" s="10" t="n">
        <f aca="false">IF(ROW()-$B$7&gt;=19,INDEX($G$19:$G$108,ROW()-$B$7-19+1),0)</f>
        <v>0</v>
      </c>
      <c r="E107" s="10" t="n">
        <f aca="false">C107+D107</f>
        <v>1700</v>
      </c>
      <c r="F107" s="10" t="str">
        <f aca="false">IF(E107&lt;=$B$9,"是","否")</f>
        <v>否</v>
      </c>
      <c r="G107" s="10" t="n">
        <f aca="false">IF(F107="是",$B$8,0)</f>
        <v>0</v>
      </c>
      <c r="H107" s="10" t="n">
        <f aca="false">MIN(E107,B107)</f>
        <v>17</v>
      </c>
      <c r="I107" s="10" t="n">
        <f aca="false">MAX(0,B107-E107)</f>
        <v>0</v>
      </c>
      <c r="J107" s="10" t="n">
        <f aca="false">E107-H107</f>
        <v>1683</v>
      </c>
      <c r="K107" s="10" t="n">
        <f aca="false">J107*$B$10</f>
        <v>36.8876712328767</v>
      </c>
      <c r="L107" s="10" t="n">
        <f aca="false">IF(F107="是",$B$11,0)</f>
        <v>0</v>
      </c>
      <c r="M107" s="10" t="n">
        <f aca="false">I107*$B$12</f>
        <v>0</v>
      </c>
    </row>
    <row r="108" customFormat="false" ht="15" hidden="false" customHeight="false" outlineLevel="0" collapsed="false">
      <c r="A108" s="12" t="n">
        <v>90</v>
      </c>
      <c r="B108" s="10" t="n">
        <f aca="true">ROUND(MAX(0,NORMINV(RAND(),$B$5,$B$6)),0)</f>
        <v>14</v>
      </c>
      <c r="C108" s="10" t="n">
        <f aca="false">J107</f>
        <v>1683</v>
      </c>
      <c r="D108" s="10" t="n">
        <f aca="false">IF(ROW()-$B$7&gt;=19,INDEX($G$19:$G$108,ROW()-$B$7-19+1),0)</f>
        <v>0</v>
      </c>
      <c r="E108" s="10" t="n">
        <f aca="false">C108+D108</f>
        <v>1683</v>
      </c>
      <c r="F108" s="10" t="str">
        <f aca="false">IF(E108&lt;=$B$9,"是","否")</f>
        <v>否</v>
      </c>
      <c r="G108" s="10" t="n">
        <f aca="false">IF(F108="是",$B$8,0)</f>
        <v>0</v>
      </c>
      <c r="H108" s="10" t="n">
        <f aca="false">MIN(E108,B108)</f>
        <v>14</v>
      </c>
      <c r="I108" s="10" t="n">
        <f aca="false">MAX(0,B108-E108)</f>
        <v>0</v>
      </c>
      <c r="J108" s="10" t="n">
        <f aca="false">E108-H108</f>
        <v>1669</v>
      </c>
      <c r="K108" s="10" t="n">
        <f aca="false">J108*$B$10</f>
        <v>36.5808219178082</v>
      </c>
      <c r="L108" s="10" t="n">
        <f aca="false">IF(F108="是",$B$11,0)</f>
        <v>0</v>
      </c>
      <c r="M108" s="10" t="n">
        <f aca="false">I108*$B$12</f>
        <v>0</v>
      </c>
    </row>
    <row r="110" customFormat="false" ht="17.15" hidden="false" customHeight="false" outlineLevel="0" collapsed="false">
      <c r="A110" s="9" t="s">
        <v>88</v>
      </c>
      <c r="B110" s="10" t="n">
        <f aca="false">SUM(K19:M108)</f>
        <v>3535.13424657534</v>
      </c>
    </row>
    <row r="112" customFormat="false" ht="17.15" hidden="false" customHeight="false" outlineLevel="0" collapsed="false">
      <c r="A112" s="9" t="s">
        <v>89</v>
      </c>
    </row>
    <row r="113" customFormat="false" ht="32.8" hidden="false" customHeight="false" outlineLevel="0" collapsed="false">
      <c r="A113" s="3" t="s">
        <v>77</v>
      </c>
      <c r="B113" s="3" t="s">
        <v>78</v>
      </c>
      <c r="C113" s="3" t="s">
        <v>79</v>
      </c>
      <c r="D113" s="3" t="s">
        <v>80</v>
      </c>
      <c r="E113" s="3" t="s">
        <v>81</v>
      </c>
      <c r="F113" s="3" t="s">
        <v>90</v>
      </c>
      <c r="G113" s="3" t="s">
        <v>83</v>
      </c>
      <c r="H113" s="3" t="s">
        <v>84</v>
      </c>
      <c r="I113" s="3" t="s">
        <v>85</v>
      </c>
      <c r="J113" s="3" t="s">
        <v>86</v>
      </c>
      <c r="K113" s="3" t="s">
        <v>33</v>
      </c>
      <c r="L113" s="3" t="s">
        <v>32</v>
      </c>
      <c r="M113" s="3" t="s">
        <v>87</v>
      </c>
    </row>
    <row r="114" customFormat="false" ht="15" hidden="false" customHeight="false" outlineLevel="0" collapsed="false">
      <c r="A114" s="12" t="n">
        <v>1</v>
      </c>
      <c r="B114" s="10" t="n">
        <f aca="true">ROUND(MAX(0,NORMINV(RAND(),$B$5,$B$6)),0)</f>
        <v>20</v>
      </c>
      <c r="C114" s="10" t="n">
        <f aca="false">$B$14</f>
        <v>580</v>
      </c>
      <c r="D114" s="10" t="n">
        <f aca="false">IF(ROW()-$B$7&gt;=114,INDEX($G$114:$G$203,ROW()-$B$7-114+1),0)</f>
        <v>0</v>
      </c>
      <c r="E114" s="10" t="n">
        <f aca="false">C114+D114</f>
        <v>580</v>
      </c>
      <c r="F114" s="10" t="str">
        <f aca="false">IF(MOD(A114,$B$13)=0,"是","否")</f>
        <v>否</v>
      </c>
      <c r="G114" s="10" t="n">
        <f aca="false">IF(F114="是",MAX(0,$B$14-E114),0)</f>
        <v>0</v>
      </c>
      <c r="H114" s="10" t="n">
        <f aca="false">MIN(E114,B114)</f>
        <v>20</v>
      </c>
      <c r="I114" s="10" t="n">
        <f aca="false">MAX(0,B114-E114)</f>
        <v>0</v>
      </c>
      <c r="J114" s="10" t="n">
        <f aca="false">E114-H114</f>
        <v>560</v>
      </c>
      <c r="K114" s="10" t="n">
        <f aca="false">J114*$B$10</f>
        <v>12.2739726027397</v>
      </c>
      <c r="L114" s="10" t="n">
        <f aca="false">IF(F114="是",$B$11,0)</f>
        <v>0</v>
      </c>
      <c r="M114" s="10" t="n">
        <f aca="false">I114*$B$12</f>
        <v>0</v>
      </c>
    </row>
    <row r="115" customFormat="false" ht="15" hidden="false" customHeight="false" outlineLevel="0" collapsed="false">
      <c r="A115" s="12" t="n">
        <v>2</v>
      </c>
      <c r="B115" s="10" t="n">
        <f aca="true">ROUND(MAX(0,NORMINV(RAND(),$B$5,$B$6)),0)</f>
        <v>20</v>
      </c>
      <c r="C115" s="10" t="n">
        <f aca="false">J114</f>
        <v>560</v>
      </c>
      <c r="D115" s="10" t="n">
        <f aca="false">IF(ROW()-$B$7&gt;=114,INDEX($G$114:$G$203,ROW()-$B$7-114+1),0)</f>
        <v>0</v>
      </c>
      <c r="E115" s="10" t="n">
        <f aca="false">C115+D115</f>
        <v>560</v>
      </c>
      <c r="F115" s="10" t="str">
        <f aca="false">IF(MOD(A115,$B$13)=0,"是","否")</f>
        <v>否</v>
      </c>
      <c r="G115" s="10" t="n">
        <f aca="false">IF(F115="是",MAX(0,$B$14-E115),0)</f>
        <v>0</v>
      </c>
      <c r="H115" s="10" t="n">
        <f aca="false">MIN(E115,B115)</f>
        <v>20</v>
      </c>
      <c r="I115" s="10" t="n">
        <f aca="false">MAX(0,B115-E115)</f>
        <v>0</v>
      </c>
      <c r="J115" s="10" t="n">
        <f aca="false">E115-H115</f>
        <v>540</v>
      </c>
      <c r="K115" s="10" t="n">
        <f aca="false">J115*$B$10</f>
        <v>11.8356164383562</v>
      </c>
      <c r="L115" s="10" t="n">
        <f aca="false">IF(F115="是",$B$11,0)</f>
        <v>0</v>
      </c>
      <c r="M115" s="10" t="n">
        <f aca="false">I115*$B$12</f>
        <v>0</v>
      </c>
    </row>
    <row r="116" customFormat="false" ht="15" hidden="false" customHeight="false" outlineLevel="0" collapsed="false">
      <c r="A116" s="12" t="n">
        <v>3</v>
      </c>
      <c r="B116" s="10" t="n">
        <f aca="true">ROUND(MAX(0,NORMINV(RAND(),$B$5,$B$6)),0)</f>
        <v>24</v>
      </c>
      <c r="C116" s="10" t="n">
        <f aca="false">J115</f>
        <v>540</v>
      </c>
      <c r="D116" s="10" t="n">
        <f aca="false">IF(ROW()-$B$7&gt;=114,INDEX($G$114:$G$203,ROW()-$B$7-114+1),0)</f>
        <v>0</v>
      </c>
      <c r="E116" s="10" t="n">
        <f aca="false">C116+D116</f>
        <v>540</v>
      </c>
      <c r="F116" s="10" t="str">
        <f aca="false">IF(MOD(A116,$B$13)=0,"是","否")</f>
        <v>否</v>
      </c>
      <c r="G116" s="10" t="n">
        <f aca="false">IF(F116="是",MAX(0,$B$14-E116),0)</f>
        <v>0</v>
      </c>
      <c r="H116" s="10" t="n">
        <f aca="false">MIN(E116,B116)</f>
        <v>24</v>
      </c>
      <c r="I116" s="10" t="n">
        <f aca="false">MAX(0,B116-E116)</f>
        <v>0</v>
      </c>
      <c r="J116" s="10" t="n">
        <f aca="false">E116-H116</f>
        <v>516</v>
      </c>
      <c r="K116" s="10" t="n">
        <f aca="false">J116*$B$10</f>
        <v>11.3095890410959</v>
      </c>
      <c r="L116" s="10" t="n">
        <f aca="false">IF(F116="是",$B$11,0)</f>
        <v>0</v>
      </c>
      <c r="M116" s="10" t="n">
        <f aca="false">I116*$B$12</f>
        <v>0</v>
      </c>
    </row>
    <row r="117" customFormat="false" ht="15" hidden="false" customHeight="false" outlineLevel="0" collapsed="false">
      <c r="A117" s="12" t="n">
        <v>4</v>
      </c>
      <c r="B117" s="10" t="n">
        <f aca="true">ROUND(MAX(0,NORMINV(RAND(),$B$5,$B$6)),0)</f>
        <v>15</v>
      </c>
      <c r="C117" s="10" t="n">
        <f aca="false">J116</f>
        <v>516</v>
      </c>
      <c r="D117" s="10" t="n">
        <f aca="false">IF(ROW()-$B$7&gt;=114,INDEX($G$114:$G$203,ROW()-$B$7-114+1),0)</f>
        <v>0</v>
      </c>
      <c r="E117" s="10" t="n">
        <f aca="false">C117+D117</f>
        <v>516</v>
      </c>
      <c r="F117" s="10" t="str">
        <f aca="false">IF(MOD(A117,$B$13)=0,"是","否")</f>
        <v>否</v>
      </c>
      <c r="G117" s="10" t="n">
        <f aca="false">IF(F117="是",MAX(0,$B$14-E117),0)</f>
        <v>0</v>
      </c>
      <c r="H117" s="10" t="n">
        <f aca="false">MIN(E117,B117)</f>
        <v>15</v>
      </c>
      <c r="I117" s="10" t="n">
        <f aca="false">MAX(0,B117-E117)</f>
        <v>0</v>
      </c>
      <c r="J117" s="10" t="n">
        <f aca="false">E117-H117</f>
        <v>501</v>
      </c>
      <c r="K117" s="10" t="n">
        <f aca="false">J117*$B$10</f>
        <v>10.9808219178082</v>
      </c>
      <c r="L117" s="10" t="n">
        <f aca="false">IF(F117="是",$B$11,0)</f>
        <v>0</v>
      </c>
      <c r="M117" s="10" t="n">
        <f aca="false">I117*$B$12</f>
        <v>0</v>
      </c>
    </row>
    <row r="118" customFormat="false" ht="15" hidden="false" customHeight="false" outlineLevel="0" collapsed="false">
      <c r="A118" s="12" t="n">
        <v>5</v>
      </c>
      <c r="B118" s="10" t="n">
        <f aca="true">ROUND(MAX(0,NORMINV(RAND(),$B$5,$B$6)),0)</f>
        <v>13</v>
      </c>
      <c r="C118" s="10" t="n">
        <f aca="false">J117</f>
        <v>501</v>
      </c>
      <c r="D118" s="10" t="n">
        <f aca="false">IF(ROW()-$B$7&gt;=114,INDEX($G$114:$G$203,ROW()-$B$7-114+1),0)</f>
        <v>0</v>
      </c>
      <c r="E118" s="10" t="n">
        <f aca="false">C118+D118</f>
        <v>501</v>
      </c>
      <c r="F118" s="10" t="str">
        <f aca="false">IF(MOD(A118,$B$13)=0,"是","否")</f>
        <v>否</v>
      </c>
      <c r="G118" s="10" t="n">
        <f aca="false">IF(F118="是",MAX(0,$B$14-E118),0)</f>
        <v>0</v>
      </c>
      <c r="H118" s="10" t="n">
        <f aca="false">MIN(E118,B118)</f>
        <v>13</v>
      </c>
      <c r="I118" s="10" t="n">
        <f aca="false">MAX(0,B118-E118)</f>
        <v>0</v>
      </c>
      <c r="J118" s="10" t="n">
        <f aca="false">E118-H118</f>
        <v>488</v>
      </c>
      <c r="K118" s="10" t="n">
        <f aca="false">J118*$B$10</f>
        <v>10.6958904109589</v>
      </c>
      <c r="L118" s="10" t="n">
        <f aca="false">IF(F118="是",$B$11,0)</f>
        <v>0</v>
      </c>
      <c r="M118" s="10" t="n">
        <f aca="false">I118*$B$12</f>
        <v>0</v>
      </c>
    </row>
    <row r="119" customFormat="false" ht="15" hidden="false" customHeight="false" outlineLevel="0" collapsed="false">
      <c r="A119" s="12" t="n">
        <v>6</v>
      </c>
      <c r="B119" s="10" t="n">
        <f aca="true">ROUND(MAX(0,NORMINV(RAND(),$B$5,$B$6)),0)</f>
        <v>13</v>
      </c>
      <c r="C119" s="10" t="n">
        <f aca="false">J118</f>
        <v>488</v>
      </c>
      <c r="D119" s="10" t="n">
        <f aca="false">IF(ROW()-$B$7&gt;=114,INDEX($G$114:$G$203,ROW()-$B$7-114+1),0)</f>
        <v>0</v>
      </c>
      <c r="E119" s="10" t="n">
        <f aca="false">C119+D119</f>
        <v>488</v>
      </c>
      <c r="F119" s="10" t="str">
        <f aca="false">IF(MOD(A119,$B$13)=0,"是","否")</f>
        <v>否</v>
      </c>
      <c r="G119" s="10" t="n">
        <f aca="false">IF(F119="是",MAX(0,$B$14-E119),0)</f>
        <v>0</v>
      </c>
      <c r="H119" s="10" t="n">
        <f aca="false">MIN(E119,B119)</f>
        <v>13</v>
      </c>
      <c r="I119" s="10" t="n">
        <f aca="false">MAX(0,B119-E119)</f>
        <v>0</v>
      </c>
      <c r="J119" s="10" t="n">
        <f aca="false">E119-H119</f>
        <v>475</v>
      </c>
      <c r="K119" s="10" t="n">
        <f aca="false">J119*$B$10</f>
        <v>10.4109589041096</v>
      </c>
      <c r="L119" s="10" t="n">
        <f aca="false">IF(F119="是",$B$11,0)</f>
        <v>0</v>
      </c>
      <c r="M119" s="10" t="n">
        <f aca="false">I119*$B$12</f>
        <v>0</v>
      </c>
    </row>
    <row r="120" customFormat="false" ht="15" hidden="false" customHeight="false" outlineLevel="0" collapsed="false">
      <c r="A120" s="12" t="n">
        <v>7</v>
      </c>
      <c r="B120" s="10" t="n">
        <f aca="true">ROUND(MAX(0,NORMINV(RAND(),$B$5,$B$6)),0)</f>
        <v>9</v>
      </c>
      <c r="C120" s="10" t="n">
        <f aca="false">J119</f>
        <v>475</v>
      </c>
      <c r="D120" s="10" t="n">
        <f aca="false">IF(ROW()-$B$7&gt;=114,INDEX($G$114:$G$203,ROW()-$B$7-114+1),0)</f>
        <v>0</v>
      </c>
      <c r="E120" s="10" t="n">
        <f aca="false">C120+D120</f>
        <v>475</v>
      </c>
      <c r="F120" s="10" t="str">
        <f aca="false">IF(MOD(A120,$B$13)=0,"是","否")</f>
        <v>否</v>
      </c>
      <c r="G120" s="10" t="n">
        <f aca="false">IF(F120="是",MAX(0,$B$14-E120),0)</f>
        <v>0</v>
      </c>
      <c r="H120" s="10" t="n">
        <f aca="false">MIN(E120,B120)</f>
        <v>9</v>
      </c>
      <c r="I120" s="10" t="n">
        <f aca="false">MAX(0,B120-E120)</f>
        <v>0</v>
      </c>
      <c r="J120" s="10" t="n">
        <f aca="false">E120-H120</f>
        <v>466</v>
      </c>
      <c r="K120" s="10" t="n">
        <f aca="false">J120*$B$10</f>
        <v>10.213698630137</v>
      </c>
      <c r="L120" s="10" t="n">
        <f aca="false">IF(F120="是",$B$11,0)</f>
        <v>0</v>
      </c>
      <c r="M120" s="10" t="n">
        <f aca="false">I120*$B$12</f>
        <v>0</v>
      </c>
    </row>
    <row r="121" customFormat="false" ht="15" hidden="false" customHeight="false" outlineLevel="0" collapsed="false">
      <c r="A121" s="12" t="n">
        <v>8</v>
      </c>
      <c r="B121" s="10" t="n">
        <f aca="true">ROUND(MAX(0,NORMINV(RAND(),$B$5,$B$6)),0)</f>
        <v>18</v>
      </c>
      <c r="C121" s="10" t="n">
        <f aca="false">J120</f>
        <v>466</v>
      </c>
      <c r="D121" s="10" t="n">
        <f aca="false">IF(ROW()-$B$7&gt;=114,INDEX($G$114:$G$203,ROW()-$B$7-114+1),0)</f>
        <v>0</v>
      </c>
      <c r="E121" s="10" t="n">
        <f aca="false">C121+D121</f>
        <v>466</v>
      </c>
      <c r="F121" s="10" t="str">
        <f aca="false">IF(MOD(A121,$B$13)=0,"是","否")</f>
        <v>否</v>
      </c>
      <c r="G121" s="10" t="n">
        <f aca="false">IF(F121="是",MAX(0,$B$14-E121),0)</f>
        <v>0</v>
      </c>
      <c r="H121" s="10" t="n">
        <f aca="false">MIN(E121,B121)</f>
        <v>18</v>
      </c>
      <c r="I121" s="10" t="n">
        <f aca="false">MAX(0,B121-E121)</f>
        <v>0</v>
      </c>
      <c r="J121" s="10" t="n">
        <f aca="false">E121-H121</f>
        <v>448</v>
      </c>
      <c r="K121" s="10" t="n">
        <f aca="false">J121*$B$10</f>
        <v>9.81917808219178</v>
      </c>
      <c r="L121" s="10" t="n">
        <f aca="false">IF(F121="是",$B$11,0)</f>
        <v>0</v>
      </c>
      <c r="M121" s="10" t="n">
        <f aca="false">I121*$B$12</f>
        <v>0</v>
      </c>
    </row>
    <row r="122" customFormat="false" ht="15" hidden="false" customHeight="false" outlineLevel="0" collapsed="false">
      <c r="A122" s="12" t="n">
        <v>9</v>
      </c>
      <c r="B122" s="10" t="n">
        <f aca="true">ROUND(MAX(0,NORMINV(RAND(),$B$5,$B$6)),0)</f>
        <v>18</v>
      </c>
      <c r="C122" s="10" t="n">
        <f aca="false">J121</f>
        <v>448</v>
      </c>
      <c r="D122" s="10" t="n">
        <f aca="false">IF(ROW()-$B$7&gt;=114,INDEX($G$114:$G$203,ROW()-$B$7-114+1),0)</f>
        <v>0</v>
      </c>
      <c r="E122" s="10" t="n">
        <f aca="false">C122+D122</f>
        <v>448</v>
      </c>
      <c r="F122" s="10" t="str">
        <f aca="false">IF(MOD(A122,$B$13)=0,"是","否")</f>
        <v>否</v>
      </c>
      <c r="G122" s="10" t="n">
        <f aca="false">IF(F122="是",MAX(0,$B$14-E122),0)</f>
        <v>0</v>
      </c>
      <c r="H122" s="10" t="n">
        <f aca="false">MIN(E122,B122)</f>
        <v>18</v>
      </c>
      <c r="I122" s="10" t="n">
        <f aca="false">MAX(0,B122-E122)</f>
        <v>0</v>
      </c>
      <c r="J122" s="10" t="n">
        <f aca="false">E122-H122</f>
        <v>430</v>
      </c>
      <c r="K122" s="10" t="n">
        <f aca="false">J122*$B$10</f>
        <v>9.42465753424657</v>
      </c>
      <c r="L122" s="10" t="n">
        <f aca="false">IF(F122="是",$B$11,0)</f>
        <v>0</v>
      </c>
      <c r="M122" s="10" t="n">
        <f aca="false">I122*$B$12</f>
        <v>0</v>
      </c>
    </row>
    <row r="123" customFormat="false" ht="15" hidden="false" customHeight="false" outlineLevel="0" collapsed="false">
      <c r="A123" s="12" t="n">
        <v>10</v>
      </c>
      <c r="B123" s="10" t="n">
        <f aca="true">ROUND(MAX(0,NORMINV(RAND(),$B$5,$B$6)),0)</f>
        <v>23</v>
      </c>
      <c r="C123" s="10" t="n">
        <f aca="false">J122</f>
        <v>430</v>
      </c>
      <c r="D123" s="10" t="n">
        <f aca="false">IF(ROW()-$B$7&gt;=114,INDEX($G$114:$G$203,ROW()-$B$7-114+1),0)</f>
        <v>0</v>
      </c>
      <c r="E123" s="10" t="n">
        <f aca="false">C123+D123</f>
        <v>430</v>
      </c>
      <c r="F123" s="10" t="str">
        <f aca="false">IF(MOD(A123,$B$13)=0,"是","否")</f>
        <v>否</v>
      </c>
      <c r="G123" s="10" t="n">
        <f aca="false">IF(F123="是",MAX(0,$B$14-E123),0)</f>
        <v>0</v>
      </c>
      <c r="H123" s="10" t="n">
        <f aca="false">MIN(E123,B123)</f>
        <v>23</v>
      </c>
      <c r="I123" s="10" t="n">
        <f aca="false">MAX(0,B123-E123)</f>
        <v>0</v>
      </c>
      <c r="J123" s="10" t="n">
        <f aca="false">E123-H123</f>
        <v>407</v>
      </c>
      <c r="K123" s="10" t="n">
        <f aca="false">J123*$B$10</f>
        <v>8.92054794520548</v>
      </c>
      <c r="L123" s="10" t="n">
        <f aca="false">IF(F123="是",$B$11,0)</f>
        <v>0</v>
      </c>
      <c r="M123" s="10" t="n">
        <f aca="false">I123*$B$12</f>
        <v>0</v>
      </c>
    </row>
    <row r="124" customFormat="false" ht="15" hidden="false" customHeight="false" outlineLevel="0" collapsed="false">
      <c r="A124" s="12" t="n">
        <v>11</v>
      </c>
      <c r="B124" s="10" t="n">
        <f aca="true">ROUND(MAX(0,NORMINV(RAND(),$B$5,$B$6)),0)</f>
        <v>12</v>
      </c>
      <c r="C124" s="10" t="n">
        <f aca="false">J123</f>
        <v>407</v>
      </c>
      <c r="D124" s="10" t="n">
        <f aca="false">IF(ROW()-$B$7&gt;=114,INDEX($G$114:$G$203,ROW()-$B$7-114+1),0)</f>
        <v>0</v>
      </c>
      <c r="E124" s="10" t="n">
        <f aca="false">C124+D124</f>
        <v>407</v>
      </c>
      <c r="F124" s="10" t="str">
        <f aca="false">IF(MOD(A124,$B$13)=0,"是","否")</f>
        <v>否</v>
      </c>
      <c r="G124" s="10" t="n">
        <f aca="false">IF(F124="是",MAX(0,$B$14-E124),0)</f>
        <v>0</v>
      </c>
      <c r="H124" s="10" t="n">
        <f aca="false">MIN(E124,B124)</f>
        <v>12</v>
      </c>
      <c r="I124" s="10" t="n">
        <f aca="false">MAX(0,B124-E124)</f>
        <v>0</v>
      </c>
      <c r="J124" s="10" t="n">
        <f aca="false">E124-H124</f>
        <v>395</v>
      </c>
      <c r="K124" s="10" t="n">
        <f aca="false">J124*$B$10</f>
        <v>8.65753424657534</v>
      </c>
      <c r="L124" s="10" t="n">
        <f aca="false">IF(F124="是",$B$11,0)</f>
        <v>0</v>
      </c>
      <c r="M124" s="10" t="n">
        <f aca="false">I124*$B$12</f>
        <v>0</v>
      </c>
    </row>
    <row r="125" customFormat="false" ht="15" hidden="false" customHeight="false" outlineLevel="0" collapsed="false">
      <c r="A125" s="12" t="n">
        <v>12</v>
      </c>
      <c r="B125" s="10" t="n">
        <f aca="true">ROUND(MAX(0,NORMINV(RAND(),$B$5,$B$6)),0)</f>
        <v>24</v>
      </c>
      <c r="C125" s="10" t="n">
        <f aca="false">J124</f>
        <v>395</v>
      </c>
      <c r="D125" s="10" t="n">
        <f aca="false">IF(ROW()-$B$7&gt;=114,INDEX($G$114:$G$203,ROW()-$B$7-114+1),0)</f>
        <v>0</v>
      </c>
      <c r="E125" s="10" t="n">
        <f aca="false">C125+D125</f>
        <v>395</v>
      </c>
      <c r="F125" s="10" t="str">
        <f aca="false">IF(MOD(A125,$B$13)=0,"是","否")</f>
        <v>否</v>
      </c>
      <c r="G125" s="10" t="n">
        <f aca="false">IF(F125="是",MAX(0,$B$14-E125),0)</f>
        <v>0</v>
      </c>
      <c r="H125" s="10" t="n">
        <f aca="false">MIN(E125,B125)</f>
        <v>24</v>
      </c>
      <c r="I125" s="10" t="n">
        <f aca="false">MAX(0,B125-E125)</f>
        <v>0</v>
      </c>
      <c r="J125" s="10" t="n">
        <f aca="false">E125-H125</f>
        <v>371</v>
      </c>
      <c r="K125" s="10" t="n">
        <f aca="false">J125*$B$10</f>
        <v>8.13150684931507</v>
      </c>
      <c r="L125" s="10" t="n">
        <f aca="false">IF(F125="是",$B$11,0)</f>
        <v>0</v>
      </c>
      <c r="M125" s="10" t="n">
        <f aca="false">I125*$B$12</f>
        <v>0</v>
      </c>
    </row>
    <row r="126" customFormat="false" ht="15" hidden="false" customHeight="false" outlineLevel="0" collapsed="false">
      <c r="A126" s="12" t="n">
        <v>13</v>
      </c>
      <c r="B126" s="10" t="n">
        <f aca="true">ROUND(MAX(0,NORMINV(RAND(),$B$5,$B$6)),0)</f>
        <v>13</v>
      </c>
      <c r="C126" s="10" t="n">
        <f aca="false">J125</f>
        <v>371</v>
      </c>
      <c r="D126" s="10" t="n">
        <f aca="false">IF(ROW()-$B$7&gt;=114,INDEX($G$114:$G$203,ROW()-$B$7-114+1),0)</f>
        <v>0</v>
      </c>
      <c r="E126" s="10" t="n">
        <f aca="false">C126+D126</f>
        <v>371</v>
      </c>
      <c r="F126" s="10" t="str">
        <f aca="false">IF(MOD(A126,$B$13)=0,"是","否")</f>
        <v>否</v>
      </c>
      <c r="G126" s="10" t="n">
        <f aca="false">IF(F126="是",MAX(0,$B$14-E126),0)</f>
        <v>0</v>
      </c>
      <c r="H126" s="10" t="n">
        <f aca="false">MIN(E126,B126)</f>
        <v>13</v>
      </c>
      <c r="I126" s="10" t="n">
        <f aca="false">MAX(0,B126-E126)</f>
        <v>0</v>
      </c>
      <c r="J126" s="10" t="n">
        <f aca="false">E126-H126</f>
        <v>358</v>
      </c>
      <c r="K126" s="10" t="n">
        <f aca="false">J126*$B$10</f>
        <v>7.84657534246575</v>
      </c>
      <c r="L126" s="10" t="n">
        <f aca="false">IF(F126="是",$B$11,0)</f>
        <v>0</v>
      </c>
      <c r="M126" s="10" t="n">
        <f aca="false">I126*$B$12</f>
        <v>0</v>
      </c>
    </row>
    <row r="127" customFormat="false" ht="15" hidden="false" customHeight="false" outlineLevel="0" collapsed="false">
      <c r="A127" s="12" t="n">
        <v>14</v>
      </c>
      <c r="B127" s="10" t="n">
        <f aca="true">ROUND(MAX(0,NORMINV(RAND(),$B$5,$B$6)),0)</f>
        <v>17</v>
      </c>
      <c r="C127" s="10" t="n">
        <f aca="false">J126</f>
        <v>358</v>
      </c>
      <c r="D127" s="10" t="n">
        <f aca="false">IF(ROW()-$B$7&gt;=114,INDEX($G$114:$G$203,ROW()-$B$7-114+1),0)</f>
        <v>0</v>
      </c>
      <c r="E127" s="10" t="n">
        <f aca="false">C127+D127</f>
        <v>358</v>
      </c>
      <c r="F127" s="10" t="str">
        <f aca="false">IF(MOD(A127,$B$13)=0,"是","否")</f>
        <v>否</v>
      </c>
      <c r="G127" s="10" t="n">
        <f aca="false">IF(F127="是",MAX(0,$B$14-E127),0)</f>
        <v>0</v>
      </c>
      <c r="H127" s="10" t="n">
        <f aca="false">MIN(E127,B127)</f>
        <v>17</v>
      </c>
      <c r="I127" s="10" t="n">
        <f aca="false">MAX(0,B127-E127)</f>
        <v>0</v>
      </c>
      <c r="J127" s="10" t="n">
        <f aca="false">E127-H127</f>
        <v>341</v>
      </c>
      <c r="K127" s="10" t="n">
        <f aca="false">J127*$B$10</f>
        <v>7.47397260273973</v>
      </c>
      <c r="L127" s="10" t="n">
        <f aca="false">IF(F127="是",$B$11,0)</f>
        <v>0</v>
      </c>
      <c r="M127" s="10" t="n">
        <f aca="false">I127*$B$12</f>
        <v>0</v>
      </c>
    </row>
    <row r="128" customFormat="false" ht="15" hidden="false" customHeight="false" outlineLevel="0" collapsed="false">
      <c r="A128" s="12" t="n">
        <v>15</v>
      </c>
      <c r="B128" s="10" t="n">
        <f aca="true">ROUND(MAX(0,NORMINV(RAND(),$B$5,$B$6)),0)</f>
        <v>14</v>
      </c>
      <c r="C128" s="10" t="n">
        <f aca="false">J127</f>
        <v>341</v>
      </c>
      <c r="D128" s="10" t="n">
        <f aca="false">IF(ROW()-$B$7&gt;=114,INDEX($G$114:$G$203,ROW()-$B$7-114+1),0)</f>
        <v>0</v>
      </c>
      <c r="E128" s="10" t="n">
        <f aca="false">C128+D128</f>
        <v>341</v>
      </c>
      <c r="F128" s="10" t="str">
        <f aca="false">IF(MOD(A128,$B$13)=0,"是","否")</f>
        <v>否</v>
      </c>
      <c r="G128" s="10" t="n">
        <f aca="false">IF(F128="是",MAX(0,$B$14-E128),0)</f>
        <v>0</v>
      </c>
      <c r="H128" s="10" t="n">
        <f aca="false">MIN(E128,B128)</f>
        <v>14</v>
      </c>
      <c r="I128" s="10" t="n">
        <f aca="false">MAX(0,B128-E128)</f>
        <v>0</v>
      </c>
      <c r="J128" s="10" t="n">
        <f aca="false">E128-H128</f>
        <v>327</v>
      </c>
      <c r="K128" s="10" t="n">
        <f aca="false">J128*$B$10</f>
        <v>7.16712328767123</v>
      </c>
      <c r="L128" s="10" t="n">
        <f aca="false">IF(F128="是",$B$11,0)</f>
        <v>0</v>
      </c>
      <c r="M128" s="10" t="n">
        <f aca="false">I128*$B$12</f>
        <v>0</v>
      </c>
    </row>
    <row r="129" customFormat="false" ht="15" hidden="false" customHeight="false" outlineLevel="0" collapsed="false">
      <c r="A129" s="12" t="n">
        <v>16</v>
      </c>
      <c r="B129" s="10" t="n">
        <f aca="true">ROUND(MAX(0,NORMINV(RAND(),$B$5,$B$6)),0)</f>
        <v>12</v>
      </c>
      <c r="C129" s="10" t="n">
        <f aca="false">J128</f>
        <v>327</v>
      </c>
      <c r="D129" s="10" t="n">
        <f aca="false">IF(ROW()-$B$7&gt;=114,INDEX($G$114:$G$203,ROW()-$B$7-114+1),0)</f>
        <v>0</v>
      </c>
      <c r="E129" s="10" t="n">
        <f aca="false">C129+D129</f>
        <v>327</v>
      </c>
      <c r="F129" s="10" t="str">
        <f aca="false">IF(MOD(A129,$B$13)=0,"是","否")</f>
        <v>否</v>
      </c>
      <c r="G129" s="10" t="n">
        <f aca="false">IF(F129="是",MAX(0,$B$14-E129),0)</f>
        <v>0</v>
      </c>
      <c r="H129" s="10" t="n">
        <f aca="false">MIN(E129,B129)</f>
        <v>12</v>
      </c>
      <c r="I129" s="10" t="n">
        <f aca="false">MAX(0,B129-E129)</f>
        <v>0</v>
      </c>
      <c r="J129" s="10" t="n">
        <f aca="false">E129-H129</f>
        <v>315</v>
      </c>
      <c r="K129" s="10" t="n">
        <f aca="false">J129*$B$10</f>
        <v>6.9041095890411</v>
      </c>
      <c r="L129" s="10" t="n">
        <f aca="false">IF(F129="是",$B$11,0)</f>
        <v>0</v>
      </c>
      <c r="M129" s="10" t="n">
        <f aca="false">I129*$B$12</f>
        <v>0</v>
      </c>
    </row>
    <row r="130" customFormat="false" ht="15" hidden="false" customHeight="false" outlineLevel="0" collapsed="false">
      <c r="A130" s="12" t="n">
        <v>17</v>
      </c>
      <c r="B130" s="10" t="n">
        <f aca="true">ROUND(MAX(0,NORMINV(RAND(),$B$5,$B$6)),0)</f>
        <v>12</v>
      </c>
      <c r="C130" s="10" t="n">
        <f aca="false">J129</f>
        <v>315</v>
      </c>
      <c r="D130" s="10" t="n">
        <f aca="false">IF(ROW()-$B$7&gt;=114,INDEX($G$114:$G$203,ROW()-$B$7-114+1),0)</f>
        <v>0</v>
      </c>
      <c r="E130" s="10" t="n">
        <f aca="false">C130+D130</f>
        <v>315</v>
      </c>
      <c r="F130" s="10" t="str">
        <f aca="false">IF(MOD(A130,$B$13)=0,"是","否")</f>
        <v>否</v>
      </c>
      <c r="G130" s="10" t="n">
        <f aca="false">IF(F130="是",MAX(0,$B$14-E130),0)</f>
        <v>0</v>
      </c>
      <c r="H130" s="10" t="n">
        <f aca="false">MIN(E130,B130)</f>
        <v>12</v>
      </c>
      <c r="I130" s="10" t="n">
        <f aca="false">MAX(0,B130-E130)</f>
        <v>0</v>
      </c>
      <c r="J130" s="10" t="n">
        <f aca="false">E130-H130</f>
        <v>303</v>
      </c>
      <c r="K130" s="10" t="n">
        <f aca="false">J130*$B$10</f>
        <v>6.64109589041096</v>
      </c>
      <c r="L130" s="10" t="n">
        <f aca="false">IF(F130="是",$B$11,0)</f>
        <v>0</v>
      </c>
      <c r="M130" s="10" t="n">
        <f aca="false">I130*$B$12</f>
        <v>0</v>
      </c>
    </row>
    <row r="131" customFormat="false" ht="15" hidden="false" customHeight="false" outlineLevel="0" collapsed="false">
      <c r="A131" s="12" t="n">
        <v>18</v>
      </c>
      <c r="B131" s="10" t="n">
        <f aca="true">ROUND(MAX(0,NORMINV(RAND(),$B$5,$B$6)),0)</f>
        <v>16</v>
      </c>
      <c r="C131" s="10" t="n">
        <f aca="false">J130</f>
        <v>303</v>
      </c>
      <c r="D131" s="10" t="n">
        <f aca="false">IF(ROW()-$B$7&gt;=114,INDEX($G$114:$G$203,ROW()-$B$7-114+1),0)</f>
        <v>0</v>
      </c>
      <c r="E131" s="10" t="n">
        <f aca="false">C131+D131</f>
        <v>303</v>
      </c>
      <c r="F131" s="10" t="str">
        <f aca="false">IF(MOD(A131,$B$13)=0,"是","否")</f>
        <v>否</v>
      </c>
      <c r="G131" s="10" t="n">
        <f aca="false">IF(F131="是",MAX(0,$B$14-E131),0)</f>
        <v>0</v>
      </c>
      <c r="H131" s="10" t="n">
        <f aca="false">MIN(E131,B131)</f>
        <v>16</v>
      </c>
      <c r="I131" s="10" t="n">
        <f aca="false">MAX(0,B131-E131)</f>
        <v>0</v>
      </c>
      <c r="J131" s="10" t="n">
        <f aca="false">E131-H131</f>
        <v>287</v>
      </c>
      <c r="K131" s="10" t="n">
        <f aca="false">J131*$B$10</f>
        <v>6.29041095890411</v>
      </c>
      <c r="L131" s="10" t="n">
        <f aca="false">IF(F131="是",$B$11,0)</f>
        <v>0</v>
      </c>
      <c r="M131" s="10" t="n">
        <f aca="false">I131*$B$12</f>
        <v>0</v>
      </c>
    </row>
    <row r="132" customFormat="false" ht="15" hidden="false" customHeight="false" outlineLevel="0" collapsed="false">
      <c r="A132" s="12" t="n">
        <v>19</v>
      </c>
      <c r="B132" s="10" t="n">
        <f aca="true">ROUND(MAX(0,NORMINV(RAND(),$B$5,$B$6)),0)</f>
        <v>23</v>
      </c>
      <c r="C132" s="10" t="n">
        <f aca="false">J131</f>
        <v>287</v>
      </c>
      <c r="D132" s="10" t="n">
        <f aca="false">IF(ROW()-$B$7&gt;=114,INDEX($G$114:$G$203,ROW()-$B$7-114+1),0)</f>
        <v>0</v>
      </c>
      <c r="E132" s="10" t="n">
        <f aca="false">C132+D132</f>
        <v>287</v>
      </c>
      <c r="F132" s="10" t="str">
        <f aca="false">IF(MOD(A132,$B$13)=0,"是","否")</f>
        <v>否</v>
      </c>
      <c r="G132" s="10" t="n">
        <f aca="false">IF(F132="是",MAX(0,$B$14-E132),0)</f>
        <v>0</v>
      </c>
      <c r="H132" s="10" t="n">
        <f aca="false">MIN(E132,B132)</f>
        <v>23</v>
      </c>
      <c r="I132" s="10" t="n">
        <f aca="false">MAX(0,B132-E132)</f>
        <v>0</v>
      </c>
      <c r="J132" s="10" t="n">
        <f aca="false">E132-H132</f>
        <v>264</v>
      </c>
      <c r="K132" s="10" t="n">
        <f aca="false">J132*$B$10</f>
        <v>5.78630136986301</v>
      </c>
      <c r="L132" s="10" t="n">
        <f aca="false">IF(F132="是",$B$11,0)</f>
        <v>0</v>
      </c>
      <c r="M132" s="10" t="n">
        <f aca="false">I132*$B$12</f>
        <v>0</v>
      </c>
    </row>
    <row r="133" customFormat="false" ht="15" hidden="false" customHeight="false" outlineLevel="0" collapsed="false">
      <c r="A133" s="12" t="n">
        <v>20</v>
      </c>
      <c r="B133" s="10" t="n">
        <f aca="true">ROUND(MAX(0,NORMINV(RAND(),$B$5,$B$6)),0)</f>
        <v>11</v>
      </c>
      <c r="C133" s="10" t="n">
        <f aca="false">J132</f>
        <v>264</v>
      </c>
      <c r="D133" s="10" t="n">
        <f aca="false">IF(ROW()-$B$7&gt;=114,INDEX($G$114:$G$203,ROW()-$B$7-114+1),0)</f>
        <v>0</v>
      </c>
      <c r="E133" s="10" t="n">
        <f aca="false">C133+D133</f>
        <v>264</v>
      </c>
      <c r="F133" s="10" t="str">
        <f aca="false">IF(MOD(A133,$B$13)=0,"是","否")</f>
        <v>否</v>
      </c>
      <c r="G133" s="10" t="n">
        <f aca="false">IF(F133="是",MAX(0,$B$14-E133),0)</f>
        <v>0</v>
      </c>
      <c r="H133" s="10" t="n">
        <f aca="false">MIN(E133,B133)</f>
        <v>11</v>
      </c>
      <c r="I133" s="10" t="n">
        <f aca="false">MAX(0,B133-E133)</f>
        <v>0</v>
      </c>
      <c r="J133" s="10" t="n">
        <f aca="false">E133-H133</f>
        <v>253</v>
      </c>
      <c r="K133" s="10" t="n">
        <f aca="false">J133*$B$10</f>
        <v>5.54520547945205</v>
      </c>
      <c r="L133" s="10" t="n">
        <f aca="false">IF(F133="是",$B$11,0)</f>
        <v>0</v>
      </c>
      <c r="M133" s="10" t="n">
        <f aca="false">I133*$B$12</f>
        <v>0</v>
      </c>
    </row>
    <row r="134" customFormat="false" ht="15" hidden="false" customHeight="false" outlineLevel="0" collapsed="false">
      <c r="A134" s="12" t="n">
        <v>21</v>
      </c>
      <c r="B134" s="10" t="n">
        <f aca="true">ROUND(MAX(0,NORMINV(RAND(),$B$5,$B$6)),0)</f>
        <v>22</v>
      </c>
      <c r="C134" s="10" t="n">
        <f aca="false">J133</f>
        <v>253</v>
      </c>
      <c r="D134" s="10" t="n">
        <f aca="false">IF(ROW()-$B$7&gt;=114,INDEX($G$114:$G$203,ROW()-$B$7-114+1),0)</f>
        <v>0</v>
      </c>
      <c r="E134" s="10" t="n">
        <f aca="false">C134+D134</f>
        <v>253</v>
      </c>
      <c r="F134" s="10" t="str">
        <f aca="false">IF(MOD(A134,$B$13)=0,"是","否")</f>
        <v>否</v>
      </c>
      <c r="G134" s="10" t="n">
        <f aca="false">IF(F134="是",MAX(0,$B$14-E134),0)</f>
        <v>0</v>
      </c>
      <c r="H134" s="10" t="n">
        <f aca="false">MIN(E134,B134)</f>
        <v>22</v>
      </c>
      <c r="I134" s="10" t="n">
        <f aca="false">MAX(0,B134-E134)</f>
        <v>0</v>
      </c>
      <c r="J134" s="10" t="n">
        <f aca="false">E134-H134</f>
        <v>231</v>
      </c>
      <c r="K134" s="10" t="n">
        <f aca="false">J134*$B$10</f>
        <v>5.06301369863014</v>
      </c>
      <c r="L134" s="10" t="n">
        <f aca="false">IF(F134="是",$B$11,0)</f>
        <v>0</v>
      </c>
      <c r="M134" s="10" t="n">
        <f aca="false">I134*$B$12</f>
        <v>0</v>
      </c>
    </row>
    <row r="135" customFormat="false" ht="15" hidden="false" customHeight="false" outlineLevel="0" collapsed="false">
      <c r="A135" s="12" t="n">
        <v>22</v>
      </c>
      <c r="B135" s="10" t="n">
        <f aca="true">ROUND(MAX(0,NORMINV(RAND(),$B$5,$B$6)),0)</f>
        <v>12</v>
      </c>
      <c r="C135" s="10" t="n">
        <f aca="false">J134</f>
        <v>231</v>
      </c>
      <c r="D135" s="10" t="n">
        <f aca="false">IF(ROW()-$B$7&gt;=114,INDEX($G$114:$G$203,ROW()-$B$7-114+1),0)</f>
        <v>0</v>
      </c>
      <c r="E135" s="10" t="n">
        <f aca="false">C135+D135</f>
        <v>231</v>
      </c>
      <c r="F135" s="10" t="str">
        <f aca="false">IF(MOD(A135,$B$13)=0,"是","否")</f>
        <v>否</v>
      </c>
      <c r="G135" s="10" t="n">
        <f aca="false">IF(F135="是",MAX(0,$B$14-E135),0)</f>
        <v>0</v>
      </c>
      <c r="H135" s="10" t="n">
        <f aca="false">MIN(E135,B135)</f>
        <v>12</v>
      </c>
      <c r="I135" s="10" t="n">
        <f aca="false">MAX(0,B135-E135)</f>
        <v>0</v>
      </c>
      <c r="J135" s="10" t="n">
        <f aca="false">E135-H135</f>
        <v>219</v>
      </c>
      <c r="K135" s="10" t="n">
        <f aca="false">J135*$B$10</f>
        <v>4.8</v>
      </c>
      <c r="L135" s="10" t="n">
        <f aca="false">IF(F135="是",$B$11,0)</f>
        <v>0</v>
      </c>
      <c r="M135" s="10" t="n">
        <f aca="false">I135*$B$12</f>
        <v>0</v>
      </c>
    </row>
    <row r="136" customFormat="false" ht="15" hidden="false" customHeight="false" outlineLevel="0" collapsed="false">
      <c r="A136" s="12" t="n">
        <v>23</v>
      </c>
      <c r="B136" s="10" t="n">
        <f aca="true">ROUND(MAX(0,NORMINV(RAND(),$B$5,$B$6)),0)</f>
        <v>9</v>
      </c>
      <c r="C136" s="10" t="n">
        <f aca="false">J135</f>
        <v>219</v>
      </c>
      <c r="D136" s="10" t="n">
        <f aca="false">IF(ROW()-$B$7&gt;=114,INDEX($G$114:$G$203,ROW()-$B$7-114+1),0)</f>
        <v>0</v>
      </c>
      <c r="E136" s="10" t="n">
        <f aca="false">C136+D136</f>
        <v>219</v>
      </c>
      <c r="F136" s="10" t="str">
        <f aca="false">IF(MOD(A136,$B$13)=0,"是","否")</f>
        <v>否</v>
      </c>
      <c r="G136" s="10" t="n">
        <f aca="false">IF(F136="是",MAX(0,$B$14-E136),0)</f>
        <v>0</v>
      </c>
      <c r="H136" s="10" t="n">
        <f aca="false">MIN(E136,B136)</f>
        <v>9</v>
      </c>
      <c r="I136" s="10" t="n">
        <f aca="false">MAX(0,B136-E136)</f>
        <v>0</v>
      </c>
      <c r="J136" s="10" t="n">
        <f aca="false">E136-H136</f>
        <v>210</v>
      </c>
      <c r="K136" s="10" t="n">
        <f aca="false">J136*$B$10</f>
        <v>4.6027397260274</v>
      </c>
      <c r="L136" s="10" t="n">
        <f aca="false">IF(F136="是",$B$11,0)</f>
        <v>0</v>
      </c>
      <c r="M136" s="10" t="n">
        <f aca="false">I136*$B$12</f>
        <v>0</v>
      </c>
    </row>
    <row r="137" customFormat="false" ht="15" hidden="false" customHeight="false" outlineLevel="0" collapsed="false">
      <c r="A137" s="12" t="n">
        <v>24</v>
      </c>
      <c r="B137" s="10" t="n">
        <f aca="true">ROUND(MAX(0,NORMINV(RAND(),$B$5,$B$6)),0)</f>
        <v>19</v>
      </c>
      <c r="C137" s="10" t="n">
        <f aca="false">J136</f>
        <v>210</v>
      </c>
      <c r="D137" s="10" t="n">
        <f aca="false">IF(ROW()-$B$7&gt;=114,INDEX($G$114:$G$203,ROW()-$B$7-114+1),0)</f>
        <v>0</v>
      </c>
      <c r="E137" s="10" t="n">
        <f aca="false">C137+D137</f>
        <v>210</v>
      </c>
      <c r="F137" s="10" t="str">
        <f aca="false">IF(MOD(A137,$B$13)=0,"是","否")</f>
        <v>否</v>
      </c>
      <c r="G137" s="10" t="n">
        <f aca="false">IF(F137="是",MAX(0,$B$14-E137),0)</f>
        <v>0</v>
      </c>
      <c r="H137" s="10" t="n">
        <f aca="false">MIN(E137,B137)</f>
        <v>19</v>
      </c>
      <c r="I137" s="10" t="n">
        <f aca="false">MAX(0,B137-E137)</f>
        <v>0</v>
      </c>
      <c r="J137" s="10" t="n">
        <f aca="false">E137-H137</f>
        <v>191</v>
      </c>
      <c r="K137" s="10" t="n">
        <f aca="false">J137*$B$10</f>
        <v>4.18630136986301</v>
      </c>
      <c r="L137" s="10" t="n">
        <f aca="false">IF(F137="是",$B$11,0)</f>
        <v>0</v>
      </c>
      <c r="M137" s="10" t="n">
        <f aca="false">I137*$B$12</f>
        <v>0</v>
      </c>
    </row>
    <row r="138" customFormat="false" ht="15" hidden="false" customHeight="false" outlineLevel="0" collapsed="false">
      <c r="A138" s="12" t="n">
        <v>25</v>
      </c>
      <c r="B138" s="10" t="n">
        <f aca="true">ROUND(MAX(0,NORMINV(RAND(),$B$5,$B$6)),0)</f>
        <v>16</v>
      </c>
      <c r="C138" s="10" t="n">
        <f aca="false">J137</f>
        <v>191</v>
      </c>
      <c r="D138" s="10" t="n">
        <f aca="false">IF(ROW()-$B$7&gt;=114,INDEX($G$114:$G$203,ROW()-$B$7-114+1),0)</f>
        <v>0</v>
      </c>
      <c r="E138" s="10" t="n">
        <f aca="false">C138+D138</f>
        <v>191</v>
      </c>
      <c r="F138" s="10" t="str">
        <f aca="false">IF(MOD(A138,$B$13)=0,"是","否")</f>
        <v>否</v>
      </c>
      <c r="G138" s="10" t="n">
        <f aca="false">IF(F138="是",MAX(0,$B$14-E138),0)</f>
        <v>0</v>
      </c>
      <c r="H138" s="10" t="n">
        <f aca="false">MIN(E138,B138)</f>
        <v>16</v>
      </c>
      <c r="I138" s="10" t="n">
        <f aca="false">MAX(0,B138-E138)</f>
        <v>0</v>
      </c>
      <c r="J138" s="10" t="n">
        <f aca="false">E138-H138</f>
        <v>175</v>
      </c>
      <c r="K138" s="10" t="n">
        <f aca="false">J138*$B$10</f>
        <v>3.83561643835616</v>
      </c>
      <c r="L138" s="10" t="n">
        <f aca="false">IF(F138="是",$B$11,0)</f>
        <v>0</v>
      </c>
      <c r="M138" s="10" t="n">
        <f aca="false">I138*$B$12</f>
        <v>0</v>
      </c>
    </row>
    <row r="139" customFormat="false" ht="15" hidden="false" customHeight="false" outlineLevel="0" collapsed="false">
      <c r="A139" s="12" t="n">
        <v>26</v>
      </c>
      <c r="B139" s="10" t="n">
        <f aca="true">ROUND(MAX(0,NORMINV(RAND(),$B$5,$B$6)),0)</f>
        <v>17</v>
      </c>
      <c r="C139" s="10" t="n">
        <f aca="false">J138</f>
        <v>175</v>
      </c>
      <c r="D139" s="10" t="n">
        <f aca="false">IF(ROW()-$B$7&gt;=114,INDEX($G$114:$G$203,ROW()-$B$7-114+1),0)</f>
        <v>0</v>
      </c>
      <c r="E139" s="10" t="n">
        <f aca="false">C139+D139</f>
        <v>175</v>
      </c>
      <c r="F139" s="10" t="str">
        <f aca="false">IF(MOD(A139,$B$13)=0,"是","否")</f>
        <v>否</v>
      </c>
      <c r="G139" s="10" t="n">
        <f aca="false">IF(F139="是",MAX(0,$B$14-E139),0)</f>
        <v>0</v>
      </c>
      <c r="H139" s="10" t="n">
        <f aca="false">MIN(E139,B139)</f>
        <v>17</v>
      </c>
      <c r="I139" s="10" t="n">
        <f aca="false">MAX(0,B139-E139)</f>
        <v>0</v>
      </c>
      <c r="J139" s="10" t="n">
        <f aca="false">E139-H139</f>
        <v>158</v>
      </c>
      <c r="K139" s="10" t="n">
        <f aca="false">J139*$B$10</f>
        <v>3.46301369863014</v>
      </c>
      <c r="L139" s="10" t="n">
        <f aca="false">IF(F139="是",$B$11,0)</f>
        <v>0</v>
      </c>
      <c r="M139" s="10" t="n">
        <f aca="false">I139*$B$12</f>
        <v>0</v>
      </c>
    </row>
    <row r="140" customFormat="false" ht="15" hidden="false" customHeight="false" outlineLevel="0" collapsed="false">
      <c r="A140" s="12" t="n">
        <v>27</v>
      </c>
      <c r="B140" s="10" t="n">
        <f aca="true">ROUND(MAX(0,NORMINV(RAND(),$B$5,$B$6)),0)</f>
        <v>8</v>
      </c>
      <c r="C140" s="10" t="n">
        <f aca="false">J139</f>
        <v>158</v>
      </c>
      <c r="D140" s="10" t="n">
        <f aca="false">IF(ROW()-$B$7&gt;=114,INDEX($G$114:$G$203,ROW()-$B$7-114+1),0)</f>
        <v>0</v>
      </c>
      <c r="E140" s="10" t="n">
        <f aca="false">C140+D140</f>
        <v>158</v>
      </c>
      <c r="F140" s="10" t="str">
        <f aca="false">IF(MOD(A140,$B$13)=0,"是","否")</f>
        <v>否</v>
      </c>
      <c r="G140" s="10" t="n">
        <f aca="false">IF(F140="是",MAX(0,$B$14-E140),0)</f>
        <v>0</v>
      </c>
      <c r="H140" s="10" t="n">
        <f aca="false">MIN(E140,B140)</f>
        <v>8</v>
      </c>
      <c r="I140" s="10" t="n">
        <f aca="false">MAX(0,B140-E140)</f>
        <v>0</v>
      </c>
      <c r="J140" s="10" t="n">
        <f aca="false">E140-H140</f>
        <v>150</v>
      </c>
      <c r="K140" s="10" t="n">
        <f aca="false">J140*$B$10</f>
        <v>3.28767123287671</v>
      </c>
      <c r="L140" s="10" t="n">
        <f aca="false">IF(F140="是",$B$11,0)</f>
        <v>0</v>
      </c>
      <c r="M140" s="10" t="n">
        <f aca="false">I140*$B$12</f>
        <v>0</v>
      </c>
    </row>
    <row r="141" customFormat="false" ht="15" hidden="false" customHeight="false" outlineLevel="0" collapsed="false">
      <c r="A141" s="12" t="n">
        <v>28</v>
      </c>
      <c r="B141" s="10" t="n">
        <f aca="true">ROUND(MAX(0,NORMINV(RAND(),$B$5,$B$6)),0)</f>
        <v>11</v>
      </c>
      <c r="C141" s="10" t="n">
        <f aca="false">J140</f>
        <v>150</v>
      </c>
      <c r="D141" s="10" t="n">
        <f aca="false">IF(ROW()-$B$7&gt;=114,INDEX($G$114:$G$203,ROW()-$B$7-114+1),0)</f>
        <v>0</v>
      </c>
      <c r="E141" s="10" t="n">
        <f aca="false">C141+D141</f>
        <v>150</v>
      </c>
      <c r="F141" s="10" t="str">
        <f aca="false">IF(MOD(A141,$B$13)=0,"是","否")</f>
        <v>否</v>
      </c>
      <c r="G141" s="10" t="n">
        <f aca="false">IF(F141="是",MAX(0,$B$14-E141),0)</f>
        <v>0</v>
      </c>
      <c r="H141" s="10" t="n">
        <f aca="false">MIN(E141,B141)</f>
        <v>11</v>
      </c>
      <c r="I141" s="10" t="n">
        <f aca="false">MAX(0,B141-E141)</f>
        <v>0</v>
      </c>
      <c r="J141" s="10" t="n">
        <f aca="false">E141-H141</f>
        <v>139</v>
      </c>
      <c r="K141" s="10" t="n">
        <f aca="false">J141*$B$10</f>
        <v>3.04657534246575</v>
      </c>
      <c r="L141" s="10" t="n">
        <f aca="false">IF(F141="是",$B$11,0)</f>
        <v>0</v>
      </c>
      <c r="M141" s="10" t="n">
        <f aca="false">I141*$B$12</f>
        <v>0</v>
      </c>
    </row>
    <row r="142" customFormat="false" ht="15" hidden="false" customHeight="false" outlineLevel="0" collapsed="false">
      <c r="A142" s="12" t="n">
        <v>29</v>
      </c>
      <c r="B142" s="10" t="n">
        <f aca="true">ROUND(MAX(0,NORMINV(RAND(),$B$5,$B$6)),0)</f>
        <v>12</v>
      </c>
      <c r="C142" s="10" t="n">
        <f aca="false">J141</f>
        <v>139</v>
      </c>
      <c r="D142" s="10" t="n">
        <f aca="false">IF(ROW()-$B$7&gt;=114,INDEX($G$114:$G$203,ROW()-$B$7-114+1),0)</f>
        <v>0</v>
      </c>
      <c r="E142" s="10" t="n">
        <f aca="false">C142+D142</f>
        <v>139</v>
      </c>
      <c r="F142" s="10" t="str">
        <f aca="false">IF(MOD(A142,$B$13)=0,"是","否")</f>
        <v>否</v>
      </c>
      <c r="G142" s="10" t="n">
        <f aca="false">IF(F142="是",MAX(0,$B$14-E142),0)</f>
        <v>0</v>
      </c>
      <c r="H142" s="10" t="n">
        <f aca="false">MIN(E142,B142)</f>
        <v>12</v>
      </c>
      <c r="I142" s="10" t="n">
        <f aca="false">MAX(0,B142-E142)</f>
        <v>0</v>
      </c>
      <c r="J142" s="10" t="n">
        <f aca="false">E142-H142</f>
        <v>127</v>
      </c>
      <c r="K142" s="10" t="n">
        <f aca="false">J142*$B$10</f>
        <v>2.78356164383562</v>
      </c>
      <c r="L142" s="10" t="n">
        <f aca="false">IF(F142="是",$B$11,0)</f>
        <v>0</v>
      </c>
      <c r="M142" s="10" t="n">
        <f aca="false">I142*$B$12</f>
        <v>0</v>
      </c>
    </row>
    <row r="143" customFormat="false" ht="15" hidden="false" customHeight="false" outlineLevel="0" collapsed="false">
      <c r="A143" s="12" t="n">
        <v>30</v>
      </c>
      <c r="B143" s="10" t="n">
        <f aca="true">ROUND(MAX(0,NORMINV(RAND(),$B$5,$B$6)),0)</f>
        <v>5</v>
      </c>
      <c r="C143" s="10" t="n">
        <f aca="false">J142</f>
        <v>127</v>
      </c>
      <c r="D143" s="10" t="n">
        <f aca="false">IF(ROW()-$B$7&gt;=114,INDEX($G$114:$G$203,ROW()-$B$7-114+1),0)</f>
        <v>0</v>
      </c>
      <c r="E143" s="10" t="n">
        <f aca="false">C143+D143</f>
        <v>127</v>
      </c>
      <c r="F143" s="10" t="str">
        <f aca="false">IF(MOD(A143,$B$13)=0,"是","否")</f>
        <v>是</v>
      </c>
      <c r="G143" s="10" t="n">
        <f aca="false">IF(F143="是",MAX(0,$B$14-E143),0)</f>
        <v>453</v>
      </c>
      <c r="H143" s="10" t="n">
        <f aca="false">MIN(E143,B143)</f>
        <v>5</v>
      </c>
      <c r="I143" s="10" t="n">
        <f aca="false">MAX(0,B143-E143)</f>
        <v>0</v>
      </c>
      <c r="J143" s="10" t="n">
        <f aca="false">E143-H143</f>
        <v>122</v>
      </c>
      <c r="K143" s="10" t="n">
        <f aca="false">J143*$B$10</f>
        <v>2.67397260273973</v>
      </c>
      <c r="L143" s="10" t="n">
        <f aca="false">IF(F143="是",$B$11,0)</f>
        <v>150</v>
      </c>
      <c r="M143" s="10" t="n">
        <f aca="false">I143*$B$12</f>
        <v>0</v>
      </c>
    </row>
    <row r="144" customFormat="false" ht="15" hidden="false" customHeight="false" outlineLevel="0" collapsed="false">
      <c r="A144" s="12" t="n">
        <v>31</v>
      </c>
      <c r="B144" s="10" t="n">
        <f aca="true">ROUND(MAX(0,NORMINV(RAND(),$B$5,$B$6)),0)</f>
        <v>11</v>
      </c>
      <c r="C144" s="10" t="n">
        <f aca="false">J143</f>
        <v>122</v>
      </c>
      <c r="D144" s="10" t="n">
        <f aca="false">IF(ROW()-$B$7&gt;=114,INDEX($G$114:$G$203,ROW()-$B$7-114+1),0)</f>
        <v>0</v>
      </c>
      <c r="E144" s="10" t="n">
        <f aca="false">C144+D144</f>
        <v>122</v>
      </c>
      <c r="F144" s="10" t="str">
        <f aca="false">IF(MOD(A144,$B$13)=0,"是","否")</f>
        <v>否</v>
      </c>
      <c r="G144" s="10" t="n">
        <f aca="false">IF(F144="是",MAX(0,$B$14-E144),0)</f>
        <v>0</v>
      </c>
      <c r="H144" s="10" t="n">
        <f aca="false">MIN(E144,B144)</f>
        <v>11</v>
      </c>
      <c r="I144" s="10" t="n">
        <f aca="false">MAX(0,B144-E144)</f>
        <v>0</v>
      </c>
      <c r="J144" s="10" t="n">
        <f aca="false">E144-H144</f>
        <v>111</v>
      </c>
      <c r="K144" s="10" t="n">
        <f aca="false">J144*$B$10</f>
        <v>2.43287671232877</v>
      </c>
      <c r="L144" s="10" t="n">
        <f aca="false">IF(F144="是",$B$11,0)</f>
        <v>0</v>
      </c>
      <c r="M144" s="10" t="n">
        <f aca="false">I144*$B$12</f>
        <v>0</v>
      </c>
    </row>
    <row r="145" customFormat="false" ht="15" hidden="false" customHeight="false" outlineLevel="0" collapsed="false">
      <c r="A145" s="12" t="n">
        <v>32</v>
      </c>
      <c r="B145" s="10" t="n">
        <f aca="true">ROUND(MAX(0,NORMINV(RAND(),$B$5,$B$6)),0)</f>
        <v>13</v>
      </c>
      <c r="C145" s="10" t="n">
        <f aca="false">J144</f>
        <v>111</v>
      </c>
      <c r="D145" s="10" t="n">
        <f aca="false">IF(ROW()-$B$7&gt;=114,INDEX($G$114:$G$203,ROW()-$B$7-114+1),0)</f>
        <v>0</v>
      </c>
      <c r="E145" s="10" t="n">
        <f aca="false">C145+D145</f>
        <v>111</v>
      </c>
      <c r="F145" s="10" t="str">
        <f aca="false">IF(MOD(A145,$B$13)=0,"是","否")</f>
        <v>否</v>
      </c>
      <c r="G145" s="10" t="n">
        <f aca="false">IF(F145="是",MAX(0,$B$14-E145),0)</f>
        <v>0</v>
      </c>
      <c r="H145" s="10" t="n">
        <f aca="false">MIN(E145,B145)</f>
        <v>13</v>
      </c>
      <c r="I145" s="10" t="n">
        <f aca="false">MAX(0,B145-E145)</f>
        <v>0</v>
      </c>
      <c r="J145" s="10" t="n">
        <f aca="false">E145-H145</f>
        <v>98</v>
      </c>
      <c r="K145" s="10" t="n">
        <f aca="false">J145*$B$10</f>
        <v>2.14794520547945</v>
      </c>
      <c r="L145" s="10" t="n">
        <f aca="false">IF(F145="是",$B$11,0)</f>
        <v>0</v>
      </c>
      <c r="M145" s="10" t="n">
        <f aca="false">I145*$B$12</f>
        <v>0</v>
      </c>
    </row>
    <row r="146" customFormat="false" ht="15" hidden="false" customHeight="false" outlineLevel="0" collapsed="false">
      <c r="A146" s="12" t="n">
        <v>33</v>
      </c>
      <c r="B146" s="10" t="n">
        <f aca="true">ROUND(MAX(0,NORMINV(RAND(),$B$5,$B$6)),0)</f>
        <v>17</v>
      </c>
      <c r="C146" s="10" t="n">
        <f aca="false">J145</f>
        <v>98</v>
      </c>
      <c r="D146" s="10" t="n">
        <f aca="false">IF(ROW()-$B$7&gt;=114,INDEX($G$114:$G$203,ROW()-$B$7-114+1),0)</f>
        <v>0</v>
      </c>
      <c r="E146" s="10" t="n">
        <f aca="false">C146+D146</f>
        <v>98</v>
      </c>
      <c r="F146" s="10" t="str">
        <f aca="false">IF(MOD(A146,$B$13)=0,"是","否")</f>
        <v>否</v>
      </c>
      <c r="G146" s="10" t="n">
        <f aca="false">IF(F146="是",MAX(0,$B$14-E146),0)</f>
        <v>0</v>
      </c>
      <c r="H146" s="10" t="n">
        <f aca="false">MIN(E146,B146)</f>
        <v>17</v>
      </c>
      <c r="I146" s="10" t="n">
        <f aca="false">MAX(0,B146-E146)</f>
        <v>0</v>
      </c>
      <c r="J146" s="10" t="n">
        <f aca="false">E146-H146</f>
        <v>81</v>
      </c>
      <c r="K146" s="10" t="n">
        <f aca="false">J146*$B$10</f>
        <v>1.77534246575342</v>
      </c>
      <c r="L146" s="10" t="n">
        <f aca="false">IF(F146="是",$B$11,0)</f>
        <v>0</v>
      </c>
      <c r="M146" s="10" t="n">
        <f aca="false">I146*$B$12</f>
        <v>0</v>
      </c>
    </row>
    <row r="147" customFormat="false" ht="15" hidden="false" customHeight="false" outlineLevel="0" collapsed="false">
      <c r="A147" s="12" t="n">
        <v>34</v>
      </c>
      <c r="B147" s="10" t="n">
        <f aca="true">ROUND(MAX(0,NORMINV(RAND(),$B$5,$B$6)),0)</f>
        <v>21</v>
      </c>
      <c r="C147" s="10" t="n">
        <f aca="false">J146</f>
        <v>81</v>
      </c>
      <c r="D147" s="10" t="n">
        <f aca="false">IF(ROW()-$B$7&gt;=114,INDEX($G$114:$G$203,ROW()-$B$7-114+1),0)</f>
        <v>0</v>
      </c>
      <c r="E147" s="10" t="n">
        <f aca="false">C147+D147</f>
        <v>81</v>
      </c>
      <c r="F147" s="10" t="str">
        <f aca="false">IF(MOD(A147,$B$13)=0,"是","否")</f>
        <v>否</v>
      </c>
      <c r="G147" s="10" t="n">
        <f aca="false">IF(F147="是",MAX(0,$B$14-E147),0)</f>
        <v>0</v>
      </c>
      <c r="H147" s="10" t="n">
        <f aca="false">MIN(E147,B147)</f>
        <v>21</v>
      </c>
      <c r="I147" s="10" t="n">
        <f aca="false">MAX(0,B147-E147)</f>
        <v>0</v>
      </c>
      <c r="J147" s="10" t="n">
        <f aca="false">E147-H147</f>
        <v>60</v>
      </c>
      <c r="K147" s="10" t="n">
        <f aca="false">J147*$B$10</f>
        <v>1.31506849315068</v>
      </c>
      <c r="L147" s="10" t="n">
        <f aca="false">IF(F147="是",$B$11,0)</f>
        <v>0</v>
      </c>
      <c r="M147" s="10" t="n">
        <f aca="false">I147*$B$12</f>
        <v>0</v>
      </c>
    </row>
    <row r="148" customFormat="false" ht="15" hidden="false" customHeight="false" outlineLevel="0" collapsed="false">
      <c r="A148" s="12" t="n">
        <v>35</v>
      </c>
      <c r="B148" s="10" t="n">
        <f aca="true">ROUND(MAX(0,NORMINV(RAND(),$B$5,$B$6)),0)</f>
        <v>10</v>
      </c>
      <c r="C148" s="10" t="n">
        <f aca="false">J147</f>
        <v>60</v>
      </c>
      <c r="D148" s="10" t="n">
        <f aca="false">IF(ROW()-$B$7&gt;=114,INDEX($G$114:$G$203,ROW()-$B$7-114+1),0)</f>
        <v>0</v>
      </c>
      <c r="E148" s="10" t="n">
        <f aca="false">C148+D148</f>
        <v>60</v>
      </c>
      <c r="F148" s="10" t="str">
        <f aca="false">IF(MOD(A148,$B$13)=0,"是","否")</f>
        <v>否</v>
      </c>
      <c r="G148" s="10" t="n">
        <f aca="false">IF(F148="是",MAX(0,$B$14-E148),0)</f>
        <v>0</v>
      </c>
      <c r="H148" s="10" t="n">
        <f aca="false">MIN(E148,B148)</f>
        <v>10</v>
      </c>
      <c r="I148" s="10" t="n">
        <f aca="false">MAX(0,B148-E148)</f>
        <v>0</v>
      </c>
      <c r="J148" s="10" t="n">
        <f aca="false">E148-H148</f>
        <v>50</v>
      </c>
      <c r="K148" s="10" t="n">
        <f aca="false">J148*$B$10</f>
        <v>1.0958904109589</v>
      </c>
      <c r="L148" s="10" t="n">
        <f aca="false">IF(F148="是",$B$11,0)</f>
        <v>0</v>
      </c>
      <c r="M148" s="10" t="n">
        <f aca="false">I148*$B$12</f>
        <v>0</v>
      </c>
    </row>
    <row r="149" customFormat="false" ht="15" hidden="false" customHeight="false" outlineLevel="0" collapsed="false">
      <c r="A149" s="12" t="n">
        <v>36</v>
      </c>
      <c r="B149" s="10" t="n">
        <f aca="true">ROUND(MAX(0,NORMINV(RAND(),$B$5,$B$6)),0)</f>
        <v>21</v>
      </c>
      <c r="C149" s="10" t="n">
        <f aca="false">J148</f>
        <v>50</v>
      </c>
      <c r="D149" s="10" t="n">
        <f aca="false">IF(ROW()-$B$7&gt;=114,INDEX($G$114:$G$203,ROW()-$B$7-114+1),0)</f>
        <v>453</v>
      </c>
      <c r="E149" s="10" t="n">
        <f aca="false">C149+D149</f>
        <v>503</v>
      </c>
      <c r="F149" s="10" t="str">
        <f aca="false">IF(MOD(A149,$B$13)=0,"是","否")</f>
        <v>否</v>
      </c>
      <c r="G149" s="10" t="n">
        <f aca="false">IF(F149="是",MAX(0,$B$14-E149),0)</f>
        <v>0</v>
      </c>
      <c r="H149" s="10" t="n">
        <f aca="false">MIN(E149,B149)</f>
        <v>21</v>
      </c>
      <c r="I149" s="10" t="n">
        <f aca="false">MAX(0,B149-E149)</f>
        <v>0</v>
      </c>
      <c r="J149" s="10" t="n">
        <f aca="false">E149-H149</f>
        <v>482</v>
      </c>
      <c r="K149" s="10" t="n">
        <f aca="false">J149*$B$10</f>
        <v>10.5643835616438</v>
      </c>
      <c r="L149" s="10" t="n">
        <f aca="false">IF(F149="是",$B$11,0)</f>
        <v>0</v>
      </c>
      <c r="M149" s="10" t="n">
        <f aca="false">I149*$B$12</f>
        <v>0</v>
      </c>
    </row>
    <row r="150" customFormat="false" ht="15" hidden="false" customHeight="false" outlineLevel="0" collapsed="false">
      <c r="A150" s="12" t="n">
        <v>37</v>
      </c>
      <c r="B150" s="10" t="n">
        <f aca="true">ROUND(MAX(0,NORMINV(RAND(),$B$5,$B$6)),0)</f>
        <v>18</v>
      </c>
      <c r="C150" s="10" t="n">
        <f aca="false">J149</f>
        <v>482</v>
      </c>
      <c r="D150" s="10" t="n">
        <f aca="false">IF(ROW()-$B$7&gt;=114,INDEX($G$114:$G$203,ROW()-$B$7-114+1),0)</f>
        <v>0</v>
      </c>
      <c r="E150" s="10" t="n">
        <f aca="false">C150+D150</f>
        <v>482</v>
      </c>
      <c r="F150" s="10" t="str">
        <f aca="false">IF(MOD(A150,$B$13)=0,"是","否")</f>
        <v>否</v>
      </c>
      <c r="G150" s="10" t="n">
        <f aca="false">IF(F150="是",MAX(0,$B$14-E150),0)</f>
        <v>0</v>
      </c>
      <c r="H150" s="10" t="n">
        <f aca="false">MIN(E150,B150)</f>
        <v>18</v>
      </c>
      <c r="I150" s="10" t="n">
        <f aca="false">MAX(0,B150-E150)</f>
        <v>0</v>
      </c>
      <c r="J150" s="10" t="n">
        <f aca="false">E150-H150</f>
        <v>464</v>
      </c>
      <c r="K150" s="10" t="n">
        <f aca="false">J150*$B$10</f>
        <v>10.1698630136986</v>
      </c>
      <c r="L150" s="10" t="n">
        <f aca="false">IF(F150="是",$B$11,0)</f>
        <v>0</v>
      </c>
      <c r="M150" s="10" t="n">
        <f aca="false">I150*$B$12</f>
        <v>0</v>
      </c>
    </row>
    <row r="151" customFormat="false" ht="15" hidden="false" customHeight="false" outlineLevel="0" collapsed="false">
      <c r="A151" s="12" t="n">
        <v>38</v>
      </c>
      <c r="B151" s="10" t="n">
        <f aca="true">ROUND(MAX(0,NORMINV(RAND(),$B$5,$B$6)),0)</f>
        <v>15</v>
      </c>
      <c r="C151" s="10" t="n">
        <f aca="false">J150</f>
        <v>464</v>
      </c>
      <c r="D151" s="10" t="n">
        <f aca="false">IF(ROW()-$B$7&gt;=114,INDEX($G$114:$G$203,ROW()-$B$7-114+1),0)</f>
        <v>0</v>
      </c>
      <c r="E151" s="10" t="n">
        <f aca="false">C151+D151</f>
        <v>464</v>
      </c>
      <c r="F151" s="10" t="str">
        <f aca="false">IF(MOD(A151,$B$13)=0,"是","否")</f>
        <v>否</v>
      </c>
      <c r="G151" s="10" t="n">
        <f aca="false">IF(F151="是",MAX(0,$B$14-E151),0)</f>
        <v>0</v>
      </c>
      <c r="H151" s="10" t="n">
        <f aca="false">MIN(E151,B151)</f>
        <v>15</v>
      </c>
      <c r="I151" s="10" t="n">
        <f aca="false">MAX(0,B151-E151)</f>
        <v>0</v>
      </c>
      <c r="J151" s="10" t="n">
        <f aca="false">E151-H151</f>
        <v>449</v>
      </c>
      <c r="K151" s="10" t="n">
        <f aca="false">J151*$B$10</f>
        <v>9.84109589041096</v>
      </c>
      <c r="L151" s="10" t="n">
        <f aca="false">IF(F151="是",$B$11,0)</f>
        <v>0</v>
      </c>
      <c r="M151" s="10" t="n">
        <f aca="false">I151*$B$12</f>
        <v>0</v>
      </c>
    </row>
    <row r="152" customFormat="false" ht="15" hidden="false" customHeight="false" outlineLevel="0" collapsed="false">
      <c r="A152" s="12" t="n">
        <v>39</v>
      </c>
      <c r="B152" s="10" t="n">
        <f aca="true">ROUND(MAX(0,NORMINV(RAND(),$B$5,$B$6)),0)</f>
        <v>16</v>
      </c>
      <c r="C152" s="10" t="n">
        <f aca="false">J151</f>
        <v>449</v>
      </c>
      <c r="D152" s="10" t="n">
        <f aca="false">IF(ROW()-$B$7&gt;=114,INDEX($G$114:$G$203,ROW()-$B$7-114+1),0)</f>
        <v>0</v>
      </c>
      <c r="E152" s="10" t="n">
        <f aca="false">C152+D152</f>
        <v>449</v>
      </c>
      <c r="F152" s="10" t="str">
        <f aca="false">IF(MOD(A152,$B$13)=0,"是","否")</f>
        <v>否</v>
      </c>
      <c r="G152" s="10" t="n">
        <f aca="false">IF(F152="是",MAX(0,$B$14-E152),0)</f>
        <v>0</v>
      </c>
      <c r="H152" s="10" t="n">
        <f aca="false">MIN(E152,B152)</f>
        <v>16</v>
      </c>
      <c r="I152" s="10" t="n">
        <f aca="false">MAX(0,B152-E152)</f>
        <v>0</v>
      </c>
      <c r="J152" s="10" t="n">
        <f aca="false">E152-H152</f>
        <v>433</v>
      </c>
      <c r="K152" s="10" t="n">
        <f aca="false">J152*$B$10</f>
        <v>9.49041095890411</v>
      </c>
      <c r="L152" s="10" t="n">
        <f aca="false">IF(F152="是",$B$11,0)</f>
        <v>0</v>
      </c>
      <c r="M152" s="10" t="n">
        <f aca="false">I152*$B$12</f>
        <v>0</v>
      </c>
    </row>
    <row r="153" customFormat="false" ht="15" hidden="false" customHeight="false" outlineLevel="0" collapsed="false">
      <c r="A153" s="12" t="n">
        <v>40</v>
      </c>
      <c r="B153" s="10" t="n">
        <f aca="true">ROUND(MAX(0,NORMINV(RAND(),$B$5,$B$6)),0)</f>
        <v>19</v>
      </c>
      <c r="C153" s="10" t="n">
        <f aca="false">J152</f>
        <v>433</v>
      </c>
      <c r="D153" s="10" t="n">
        <f aca="false">IF(ROW()-$B$7&gt;=114,INDEX($G$114:$G$203,ROW()-$B$7-114+1),0)</f>
        <v>0</v>
      </c>
      <c r="E153" s="10" t="n">
        <f aca="false">C153+D153</f>
        <v>433</v>
      </c>
      <c r="F153" s="10" t="str">
        <f aca="false">IF(MOD(A153,$B$13)=0,"是","否")</f>
        <v>否</v>
      </c>
      <c r="G153" s="10" t="n">
        <f aca="false">IF(F153="是",MAX(0,$B$14-E153),0)</f>
        <v>0</v>
      </c>
      <c r="H153" s="10" t="n">
        <f aca="false">MIN(E153,B153)</f>
        <v>19</v>
      </c>
      <c r="I153" s="10" t="n">
        <f aca="false">MAX(0,B153-E153)</f>
        <v>0</v>
      </c>
      <c r="J153" s="10" t="n">
        <f aca="false">E153-H153</f>
        <v>414</v>
      </c>
      <c r="K153" s="10" t="n">
        <f aca="false">J153*$B$10</f>
        <v>9.07397260273972</v>
      </c>
      <c r="L153" s="10" t="n">
        <f aca="false">IF(F153="是",$B$11,0)</f>
        <v>0</v>
      </c>
      <c r="M153" s="10" t="n">
        <f aca="false">I153*$B$12</f>
        <v>0</v>
      </c>
    </row>
    <row r="154" customFormat="false" ht="15" hidden="false" customHeight="false" outlineLevel="0" collapsed="false">
      <c r="A154" s="12" t="n">
        <v>41</v>
      </c>
      <c r="B154" s="10" t="n">
        <f aca="true">ROUND(MAX(0,NORMINV(RAND(),$B$5,$B$6)),0)</f>
        <v>20</v>
      </c>
      <c r="C154" s="10" t="n">
        <f aca="false">J153</f>
        <v>414</v>
      </c>
      <c r="D154" s="10" t="n">
        <f aca="false">IF(ROW()-$B$7&gt;=114,INDEX($G$114:$G$203,ROW()-$B$7-114+1),0)</f>
        <v>0</v>
      </c>
      <c r="E154" s="10" t="n">
        <f aca="false">C154+D154</f>
        <v>414</v>
      </c>
      <c r="F154" s="10" t="str">
        <f aca="false">IF(MOD(A154,$B$13)=0,"是","否")</f>
        <v>否</v>
      </c>
      <c r="G154" s="10" t="n">
        <f aca="false">IF(F154="是",MAX(0,$B$14-E154),0)</f>
        <v>0</v>
      </c>
      <c r="H154" s="10" t="n">
        <f aca="false">MIN(E154,B154)</f>
        <v>20</v>
      </c>
      <c r="I154" s="10" t="n">
        <f aca="false">MAX(0,B154-E154)</f>
        <v>0</v>
      </c>
      <c r="J154" s="10" t="n">
        <f aca="false">E154-H154</f>
        <v>394</v>
      </c>
      <c r="K154" s="10" t="n">
        <f aca="false">J154*$B$10</f>
        <v>8.63561643835616</v>
      </c>
      <c r="L154" s="10" t="n">
        <f aca="false">IF(F154="是",$B$11,0)</f>
        <v>0</v>
      </c>
      <c r="M154" s="10" t="n">
        <f aca="false">I154*$B$12</f>
        <v>0</v>
      </c>
    </row>
    <row r="155" customFormat="false" ht="15" hidden="false" customHeight="false" outlineLevel="0" collapsed="false">
      <c r="A155" s="12" t="n">
        <v>42</v>
      </c>
      <c r="B155" s="10" t="n">
        <f aca="true">ROUND(MAX(0,NORMINV(RAND(),$B$5,$B$6)),0)</f>
        <v>13</v>
      </c>
      <c r="C155" s="10" t="n">
        <f aca="false">J154</f>
        <v>394</v>
      </c>
      <c r="D155" s="10" t="n">
        <f aca="false">IF(ROW()-$B$7&gt;=114,INDEX($G$114:$G$203,ROW()-$B$7-114+1),0)</f>
        <v>0</v>
      </c>
      <c r="E155" s="10" t="n">
        <f aca="false">C155+D155</f>
        <v>394</v>
      </c>
      <c r="F155" s="10" t="str">
        <f aca="false">IF(MOD(A155,$B$13)=0,"是","否")</f>
        <v>否</v>
      </c>
      <c r="G155" s="10" t="n">
        <f aca="false">IF(F155="是",MAX(0,$B$14-E155),0)</f>
        <v>0</v>
      </c>
      <c r="H155" s="10" t="n">
        <f aca="false">MIN(E155,B155)</f>
        <v>13</v>
      </c>
      <c r="I155" s="10" t="n">
        <f aca="false">MAX(0,B155-E155)</f>
        <v>0</v>
      </c>
      <c r="J155" s="10" t="n">
        <f aca="false">E155-H155</f>
        <v>381</v>
      </c>
      <c r="K155" s="10" t="n">
        <f aca="false">J155*$B$10</f>
        <v>8.35068493150685</v>
      </c>
      <c r="L155" s="10" t="n">
        <f aca="false">IF(F155="是",$B$11,0)</f>
        <v>0</v>
      </c>
      <c r="M155" s="10" t="n">
        <f aca="false">I155*$B$12</f>
        <v>0</v>
      </c>
    </row>
    <row r="156" customFormat="false" ht="15" hidden="false" customHeight="false" outlineLevel="0" collapsed="false">
      <c r="A156" s="12" t="n">
        <v>43</v>
      </c>
      <c r="B156" s="10" t="n">
        <f aca="true">ROUND(MAX(0,NORMINV(RAND(),$B$5,$B$6)),0)</f>
        <v>20</v>
      </c>
      <c r="C156" s="10" t="n">
        <f aca="false">J155</f>
        <v>381</v>
      </c>
      <c r="D156" s="10" t="n">
        <f aca="false">IF(ROW()-$B$7&gt;=114,INDEX($G$114:$G$203,ROW()-$B$7-114+1),0)</f>
        <v>0</v>
      </c>
      <c r="E156" s="10" t="n">
        <f aca="false">C156+D156</f>
        <v>381</v>
      </c>
      <c r="F156" s="10" t="str">
        <f aca="false">IF(MOD(A156,$B$13)=0,"是","否")</f>
        <v>否</v>
      </c>
      <c r="G156" s="10" t="n">
        <f aca="false">IF(F156="是",MAX(0,$B$14-E156),0)</f>
        <v>0</v>
      </c>
      <c r="H156" s="10" t="n">
        <f aca="false">MIN(E156,B156)</f>
        <v>20</v>
      </c>
      <c r="I156" s="10" t="n">
        <f aca="false">MAX(0,B156-E156)</f>
        <v>0</v>
      </c>
      <c r="J156" s="10" t="n">
        <f aca="false">E156-H156</f>
        <v>361</v>
      </c>
      <c r="K156" s="10" t="n">
        <f aca="false">J156*$B$10</f>
        <v>7.91232876712329</v>
      </c>
      <c r="L156" s="10" t="n">
        <f aca="false">IF(F156="是",$B$11,0)</f>
        <v>0</v>
      </c>
      <c r="M156" s="10" t="n">
        <f aca="false">I156*$B$12</f>
        <v>0</v>
      </c>
    </row>
    <row r="157" customFormat="false" ht="15" hidden="false" customHeight="false" outlineLevel="0" collapsed="false">
      <c r="A157" s="12" t="n">
        <v>44</v>
      </c>
      <c r="B157" s="10" t="n">
        <f aca="true">ROUND(MAX(0,NORMINV(RAND(),$B$5,$B$6)),0)</f>
        <v>14</v>
      </c>
      <c r="C157" s="10" t="n">
        <f aca="false">J156</f>
        <v>361</v>
      </c>
      <c r="D157" s="10" t="n">
        <f aca="false">IF(ROW()-$B$7&gt;=114,INDEX($G$114:$G$203,ROW()-$B$7-114+1),0)</f>
        <v>0</v>
      </c>
      <c r="E157" s="10" t="n">
        <f aca="false">C157+D157</f>
        <v>361</v>
      </c>
      <c r="F157" s="10" t="str">
        <f aca="false">IF(MOD(A157,$B$13)=0,"是","否")</f>
        <v>否</v>
      </c>
      <c r="G157" s="10" t="n">
        <f aca="false">IF(F157="是",MAX(0,$B$14-E157),0)</f>
        <v>0</v>
      </c>
      <c r="H157" s="10" t="n">
        <f aca="false">MIN(E157,B157)</f>
        <v>14</v>
      </c>
      <c r="I157" s="10" t="n">
        <f aca="false">MAX(0,B157-E157)</f>
        <v>0</v>
      </c>
      <c r="J157" s="10" t="n">
        <f aca="false">E157-H157</f>
        <v>347</v>
      </c>
      <c r="K157" s="10" t="n">
        <f aca="false">J157*$B$10</f>
        <v>7.60547945205479</v>
      </c>
      <c r="L157" s="10" t="n">
        <f aca="false">IF(F157="是",$B$11,0)</f>
        <v>0</v>
      </c>
      <c r="M157" s="10" t="n">
        <f aca="false">I157*$B$12</f>
        <v>0</v>
      </c>
    </row>
    <row r="158" customFormat="false" ht="15" hidden="false" customHeight="false" outlineLevel="0" collapsed="false">
      <c r="A158" s="12" t="n">
        <v>45</v>
      </c>
      <c r="B158" s="10" t="n">
        <f aca="true">ROUND(MAX(0,NORMINV(RAND(),$B$5,$B$6)),0)</f>
        <v>12</v>
      </c>
      <c r="C158" s="10" t="n">
        <f aca="false">J157</f>
        <v>347</v>
      </c>
      <c r="D158" s="10" t="n">
        <f aca="false">IF(ROW()-$B$7&gt;=114,INDEX($G$114:$G$203,ROW()-$B$7-114+1),0)</f>
        <v>0</v>
      </c>
      <c r="E158" s="10" t="n">
        <f aca="false">C158+D158</f>
        <v>347</v>
      </c>
      <c r="F158" s="10" t="str">
        <f aca="false">IF(MOD(A158,$B$13)=0,"是","否")</f>
        <v>否</v>
      </c>
      <c r="G158" s="10" t="n">
        <f aca="false">IF(F158="是",MAX(0,$B$14-E158),0)</f>
        <v>0</v>
      </c>
      <c r="H158" s="10" t="n">
        <f aca="false">MIN(E158,B158)</f>
        <v>12</v>
      </c>
      <c r="I158" s="10" t="n">
        <f aca="false">MAX(0,B158-E158)</f>
        <v>0</v>
      </c>
      <c r="J158" s="10" t="n">
        <f aca="false">E158-H158</f>
        <v>335</v>
      </c>
      <c r="K158" s="10" t="n">
        <f aca="false">J158*$B$10</f>
        <v>7.34246575342466</v>
      </c>
      <c r="L158" s="10" t="n">
        <f aca="false">IF(F158="是",$B$11,0)</f>
        <v>0</v>
      </c>
      <c r="M158" s="10" t="n">
        <f aca="false">I158*$B$12</f>
        <v>0</v>
      </c>
    </row>
    <row r="159" customFormat="false" ht="15" hidden="false" customHeight="false" outlineLevel="0" collapsed="false">
      <c r="A159" s="12" t="n">
        <v>46</v>
      </c>
      <c r="B159" s="10" t="n">
        <f aca="true">ROUND(MAX(0,NORMINV(RAND(),$B$5,$B$6)),0)</f>
        <v>14</v>
      </c>
      <c r="C159" s="10" t="n">
        <f aca="false">J158</f>
        <v>335</v>
      </c>
      <c r="D159" s="10" t="n">
        <f aca="false">IF(ROW()-$B$7&gt;=114,INDEX($G$114:$G$203,ROW()-$B$7-114+1),0)</f>
        <v>0</v>
      </c>
      <c r="E159" s="10" t="n">
        <f aca="false">C159+D159</f>
        <v>335</v>
      </c>
      <c r="F159" s="10" t="str">
        <f aca="false">IF(MOD(A159,$B$13)=0,"是","否")</f>
        <v>否</v>
      </c>
      <c r="G159" s="10" t="n">
        <f aca="false">IF(F159="是",MAX(0,$B$14-E159),0)</f>
        <v>0</v>
      </c>
      <c r="H159" s="10" t="n">
        <f aca="false">MIN(E159,B159)</f>
        <v>14</v>
      </c>
      <c r="I159" s="10" t="n">
        <f aca="false">MAX(0,B159-E159)</f>
        <v>0</v>
      </c>
      <c r="J159" s="10" t="n">
        <f aca="false">E159-H159</f>
        <v>321</v>
      </c>
      <c r="K159" s="10" t="n">
        <f aca="false">J159*$B$10</f>
        <v>7.03561643835616</v>
      </c>
      <c r="L159" s="10" t="n">
        <f aca="false">IF(F159="是",$B$11,0)</f>
        <v>0</v>
      </c>
      <c r="M159" s="10" t="n">
        <f aca="false">I159*$B$12</f>
        <v>0</v>
      </c>
    </row>
    <row r="160" customFormat="false" ht="15" hidden="false" customHeight="false" outlineLevel="0" collapsed="false">
      <c r="A160" s="12" t="n">
        <v>47</v>
      </c>
      <c r="B160" s="10" t="n">
        <f aca="true">ROUND(MAX(0,NORMINV(RAND(),$B$5,$B$6)),0)</f>
        <v>17</v>
      </c>
      <c r="C160" s="10" t="n">
        <f aca="false">J159</f>
        <v>321</v>
      </c>
      <c r="D160" s="10" t="n">
        <f aca="false">IF(ROW()-$B$7&gt;=114,INDEX($G$114:$G$203,ROW()-$B$7-114+1),0)</f>
        <v>0</v>
      </c>
      <c r="E160" s="10" t="n">
        <f aca="false">C160+D160</f>
        <v>321</v>
      </c>
      <c r="F160" s="10" t="str">
        <f aca="false">IF(MOD(A160,$B$13)=0,"是","否")</f>
        <v>否</v>
      </c>
      <c r="G160" s="10" t="n">
        <f aca="false">IF(F160="是",MAX(0,$B$14-E160),0)</f>
        <v>0</v>
      </c>
      <c r="H160" s="10" t="n">
        <f aca="false">MIN(E160,B160)</f>
        <v>17</v>
      </c>
      <c r="I160" s="10" t="n">
        <f aca="false">MAX(0,B160-E160)</f>
        <v>0</v>
      </c>
      <c r="J160" s="10" t="n">
        <f aca="false">E160-H160</f>
        <v>304</v>
      </c>
      <c r="K160" s="10" t="n">
        <f aca="false">J160*$B$10</f>
        <v>6.66301369863014</v>
      </c>
      <c r="L160" s="10" t="n">
        <f aca="false">IF(F160="是",$B$11,0)</f>
        <v>0</v>
      </c>
      <c r="M160" s="10" t="n">
        <f aca="false">I160*$B$12</f>
        <v>0</v>
      </c>
    </row>
    <row r="161" customFormat="false" ht="15" hidden="false" customHeight="false" outlineLevel="0" collapsed="false">
      <c r="A161" s="12" t="n">
        <v>48</v>
      </c>
      <c r="B161" s="10" t="n">
        <f aca="true">ROUND(MAX(0,NORMINV(RAND(),$B$5,$B$6)),0)</f>
        <v>18</v>
      </c>
      <c r="C161" s="10" t="n">
        <f aca="false">J160</f>
        <v>304</v>
      </c>
      <c r="D161" s="10" t="n">
        <f aca="false">IF(ROW()-$B$7&gt;=114,INDEX($G$114:$G$203,ROW()-$B$7-114+1),0)</f>
        <v>0</v>
      </c>
      <c r="E161" s="10" t="n">
        <f aca="false">C161+D161</f>
        <v>304</v>
      </c>
      <c r="F161" s="10" t="str">
        <f aca="false">IF(MOD(A161,$B$13)=0,"是","否")</f>
        <v>否</v>
      </c>
      <c r="G161" s="10" t="n">
        <f aca="false">IF(F161="是",MAX(0,$B$14-E161),0)</f>
        <v>0</v>
      </c>
      <c r="H161" s="10" t="n">
        <f aca="false">MIN(E161,B161)</f>
        <v>18</v>
      </c>
      <c r="I161" s="10" t="n">
        <f aca="false">MAX(0,B161-E161)</f>
        <v>0</v>
      </c>
      <c r="J161" s="10" t="n">
        <f aca="false">E161-H161</f>
        <v>286</v>
      </c>
      <c r="K161" s="10" t="n">
        <f aca="false">J161*$B$10</f>
        <v>6.26849315068493</v>
      </c>
      <c r="L161" s="10" t="n">
        <f aca="false">IF(F161="是",$B$11,0)</f>
        <v>0</v>
      </c>
      <c r="M161" s="10" t="n">
        <f aca="false">I161*$B$12</f>
        <v>0</v>
      </c>
    </row>
    <row r="162" customFormat="false" ht="15" hidden="false" customHeight="false" outlineLevel="0" collapsed="false">
      <c r="A162" s="12" t="n">
        <v>49</v>
      </c>
      <c r="B162" s="10" t="n">
        <f aca="true">ROUND(MAX(0,NORMINV(RAND(),$B$5,$B$6)),0)</f>
        <v>17</v>
      </c>
      <c r="C162" s="10" t="n">
        <f aca="false">J161</f>
        <v>286</v>
      </c>
      <c r="D162" s="10" t="n">
        <f aca="false">IF(ROW()-$B$7&gt;=114,INDEX($G$114:$G$203,ROW()-$B$7-114+1),0)</f>
        <v>0</v>
      </c>
      <c r="E162" s="10" t="n">
        <f aca="false">C162+D162</f>
        <v>286</v>
      </c>
      <c r="F162" s="10" t="str">
        <f aca="false">IF(MOD(A162,$B$13)=0,"是","否")</f>
        <v>否</v>
      </c>
      <c r="G162" s="10" t="n">
        <f aca="false">IF(F162="是",MAX(0,$B$14-E162),0)</f>
        <v>0</v>
      </c>
      <c r="H162" s="10" t="n">
        <f aca="false">MIN(E162,B162)</f>
        <v>17</v>
      </c>
      <c r="I162" s="10" t="n">
        <f aca="false">MAX(0,B162-E162)</f>
        <v>0</v>
      </c>
      <c r="J162" s="10" t="n">
        <f aca="false">E162-H162</f>
        <v>269</v>
      </c>
      <c r="K162" s="10" t="n">
        <f aca="false">J162*$B$10</f>
        <v>5.8958904109589</v>
      </c>
      <c r="L162" s="10" t="n">
        <f aca="false">IF(F162="是",$B$11,0)</f>
        <v>0</v>
      </c>
      <c r="M162" s="10" t="n">
        <f aca="false">I162*$B$12</f>
        <v>0</v>
      </c>
    </row>
    <row r="163" customFormat="false" ht="15" hidden="false" customHeight="false" outlineLevel="0" collapsed="false">
      <c r="A163" s="12" t="n">
        <v>50</v>
      </c>
      <c r="B163" s="10" t="n">
        <f aca="true">ROUND(MAX(0,NORMINV(RAND(),$B$5,$B$6)),0)</f>
        <v>17</v>
      </c>
      <c r="C163" s="10" t="n">
        <f aca="false">J162</f>
        <v>269</v>
      </c>
      <c r="D163" s="10" t="n">
        <f aca="false">IF(ROW()-$B$7&gt;=114,INDEX($G$114:$G$203,ROW()-$B$7-114+1),0)</f>
        <v>0</v>
      </c>
      <c r="E163" s="10" t="n">
        <f aca="false">C163+D163</f>
        <v>269</v>
      </c>
      <c r="F163" s="10" t="str">
        <f aca="false">IF(MOD(A163,$B$13)=0,"是","否")</f>
        <v>否</v>
      </c>
      <c r="G163" s="10" t="n">
        <f aca="false">IF(F163="是",MAX(0,$B$14-E163),0)</f>
        <v>0</v>
      </c>
      <c r="H163" s="10" t="n">
        <f aca="false">MIN(E163,B163)</f>
        <v>17</v>
      </c>
      <c r="I163" s="10" t="n">
        <f aca="false">MAX(0,B163-E163)</f>
        <v>0</v>
      </c>
      <c r="J163" s="10" t="n">
        <f aca="false">E163-H163</f>
        <v>252</v>
      </c>
      <c r="K163" s="10" t="n">
        <f aca="false">J163*$B$10</f>
        <v>5.52328767123288</v>
      </c>
      <c r="L163" s="10" t="n">
        <f aca="false">IF(F163="是",$B$11,0)</f>
        <v>0</v>
      </c>
      <c r="M163" s="10" t="n">
        <f aca="false">I163*$B$12</f>
        <v>0</v>
      </c>
    </row>
    <row r="164" customFormat="false" ht="15" hidden="false" customHeight="false" outlineLevel="0" collapsed="false">
      <c r="A164" s="12" t="n">
        <v>51</v>
      </c>
      <c r="B164" s="10" t="n">
        <f aca="true">ROUND(MAX(0,NORMINV(RAND(),$B$5,$B$6)),0)</f>
        <v>17</v>
      </c>
      <c r="C164" s="10" t="n">
        <f aca="false">J163</f>
        <v>252</v>
      </c>
      <c r="D164" s="10" t="n">
        <f aca="false">IF(ROW()-$B$7&gt;=114,INDEX($G$114:$G$203,ROW()-$B$7-114+1),0)</f>
        <v>0</v>
      </c>
      <c r="E164" s="10" t="n">
        <f aca="false">C164+D164</f>
        <v>252</v>
      </c>
      <c r="F164" s="10" t="str">
        <f aca="false">IF(MOD(A164,$B$13)=0,"是","否")</f>
        <v>否</v>
      </c>
      <c r="G164" s="10" t="n">
        <f aca="false">IF(F164="是",MAX(0,$B$14-E164),0)</f>
        <v>0</v>
      </c>
      <c r="H164" s="10" t="n">
        <f aca="false">MIN(E164,B164)</f>
        <v>17</v>
      </c>
      <c r="I164" s="10" t="n">
        <f aca="false">MAX(0,B164-E164)</f>
        <v>0</v>
      </c>
      <c r="J164" s="10" t="n">
        <f aca="false">E164-H164</f>
        <v>235</v>
      </c>
      <c r="K164" s="10" t="n">
        <f aca="false">J164*$B$10</f>
        <v>5.15068493150685</v>
      </c>
      <c r="L164" s="10" t="n">
        <f aca="false">IF(F164="是",$B$11,0)</f>
        <v>0</v>
      </c>
      <c r="M164" s="10" t="n">
        <f aca="false">I164*$B$12</f>
        <v>0</v>
      </c>
    </row>
    <row r="165" customFormat="false" ht="15" hidden="false" customHeight="false" outlineLevel="0" collapsed="false">
      <c r="A165" s="12" t="n">
        <v>52</v>
      </c>
      <c r="B165" s="10" t="n">
        <f aca="true">ROUND(MAX(0,NORMINV(RAND(),$B$5,$B$6)),0)</f>
        <v>14</v>
      </c>
      <c r="C165" s="10" t="n">
        <f aca="false">J164</f>
        <v>235</v>
      </c>
      <c r="D165" s="10" t="n">
        <f aca="false">IF(ROW()-$B$7&gt;=114,INDEX($G$114:$G$203,ROW()-$B$7-114+1),0)</f>
        <v>0</v>
      </c>
      <c r="E165" s="10" t="n">
        <f aca="false">C165+D165</f>
        <v>235</v>
      </c>
      <c r="F165" s="10" t="str">
        <f aca="false">IF(MOD(A165,$B$13)=0,"是","否")</f>
        <v>否</v>
      </c>
      <c r="G165" s="10" t="n">
        <f aca="false">IF(F165="是",MAX(0,$B$14-E165),0)</f>
        <v>0</v>
      </c>
      <c r="H165" s="10" t="n">
        <f aca="false">MIN(E165,B165)</f>
        <v>14</v>
      </c>
      <c r="I165" s="10" t="n">
        <f aca="false">MAX(0,B165-E165)</f>
        <v>0</v>
      </c>
      <c r="J165" s="10" t="n">
        <f aca="false">E165-H165</f>
        <v>221</v>
      </c>
      <c r="K165" s="10" t="n">
        <f aca="false">J165*$B$10</f>
        <v>4.84383561643836</v>
      </c>
      <c r="L165" s="10" t="n">
        <f aca="false">IF(F165="是",$B$11,0)</f>
        <v>0</v>
      </c>
      <c r="M165" s="10" t="n">
        <f aca="false">I165*$B$12</f>
        <v>0</v>
      </c>
    </row>
    <row r="166" customFormat="false" ht="15" hidden="false" customHeight="false" outlineLevel="0" collapsed="false">
      <c r="A166" s="12" t="n">
        <v>53</v>
      </c>
      <c r="B166" s="10" t="n">
        <f aca="true">ROUND(MAX(0,NORMINV(RAND(),$B$5,$B$6)),0)</f>
        <v>14</v>
      </c>
      <c r="C166" s="10" t="n">
        <f aca="false">J165</f>
        <v>221</v>
      </c>
      <c r="D166" s="10" t="n">
        <f aca="false">IF(ROW()-$B$7&gt;=114,INDEX($G$114:$G$203,ROW()-$B$7-114+1),0)</f>
        <v>0</v>
      </c>
      <c r="E166" s="10" t="n">
        <f aca="false">C166+D166</f>
        <v>221</v>
      </c>
      <c r="F166" s="10" t="str">
        <f aca="false">IF(MOD(A166,$B$13)=0,"是","否")</f>
        <v>否</v>
      </c>
      <c r="G166" s="10" t="n">
        <f aca="false">IF(F166="是",MAX(0,$B$14-E166),0)</f>
        <v>0</v>
      </c>
      <c r="H166" s="10" t="n">
        <f aca="false">MIN(E166,B166)</f>
        <v>14</v>
      </c>
      <c r="I166" s="10" t="n">
        <f aca="false">MAX(0,B166-E166)</f>
        <v>0</v>
      </c>
      <c r="J166" s="10" t="n">
        <f aca="false">E166-H166</f>
        <v>207</v>
      </c>
      <c r="K166" s="10" t="n">
        <f aca="false">J166*$B$10</f>
        <v>4.53698630136986</v>
      </c>
      <c r="L166" s="10" t="n">
        <f aca="false">IF(F166="是",$B$11,0)</f>
        <v>0</v>
      </c>
      <c r="M166" s="10" t="n">
        <f aca="false">I166*$B$12</f>
        <v>0</v>
      </c>
    </row>
    <row r="167" customFormat="false" ht="15" hidden="false" customHeight="false" outlineLevel="0" collapsed="false">
      <c r="A167" s="12" t="n">
        <v>54</v>
      </c>
      <c r="B167" s="10" t="n">
        <f aca="true">ROUND(MAX(0,NORMINV(RAND(),$B$5,$B$6)),0)</f>
        <v>12</v>
      </c>
      <c r="C167" s="10" t="n">
        <f aca="false">J166</f>
        <v>207</v>
      </c>
      <c r="D167" s="10" t="n">
        <f aca="false">IF(ROW()-$B$7&gt;=114,INDEX($G$114:$G$203,ROW()-$B$7-114+1),0)</f>
        <v>0</v>
      </c>
      <c r="E167" s="10" t="n">
        <f aca="false">C167+D167</f>
        <v>207</v>
      </c>
      <c r="F167" s="10" t="str">
        <f aca="false">IF(MOD(A167,$B$13)=0,"是","否")</f>
        <v>否</v>
      </c>
      <c r="G167" s="10" t="n">
        <f aca="false">IF(F167="是",MAX(0,$B$14-E167),0)</f>
        <v>0</v>
      </c>
      <c r="H167" s="10" t="n">
        <f aca="false">MIN(E167,B167)</f>
        <v>12</v>
      </c>
      <c r="I167" s="10" t="n">
        <f aca="false">MAX(0,B167-E167)</f>
        <v>0</v>
      </c>
      <c r="J167" s="10" t="n">
        <f aca="false">E167-H167</f>
        <v>195</v>
      </c>
      <c r="K167" s="10" t="n">
        <f aca="false">J167*$B$10</f>
        <v>4.27397260273973</v>
      </c>
      <c r="L167" s="10" t="n">
        <f aca="false">IF(F167="是",$B$11,0)</f>
        <v>0</v>
      </c>
      <c r="M167" s="10" t="n">
        <f aca="false">I167*$B$12</f>
        <v>0</v>
      </c>
    </row>
    <row r="168" customFormat="false" ht="15" hidden="false" customHeight="false" outlineLevel="0" collapsed="false">
      <c r="A168" s="12" t="n">
        <v>55</v>
      </c>
      <c r="B168" s="10" t="n">
        <f aca="true">ROUND(MAX(0,NORMINV(RAND(),$B$5,$B$6)),0)</f>
        <v>11</v>
      </c>
      <c r="C168" s="10" t="n">
        <f aca="false">J167</f>
        <v>195</v>
      </c>
      <c r="D168" s="10" t="n">
        <f aca="false">IF(ROW()-$B$7&gt;=114,INDEX($G$114:$G$203,ROW()-$B$7-114+1),0)</f>
        <v>0</v>
      </c>
      <c r="E168" s="10" t="n">
        <f aca="false">C168+D168</f>
        <v>195</v>
      </c>
      <c r="F168" s="10" t="str">
        <f aca="false">IF(MOD(A168,$B$13)=0,"是","否")</f>
        <v>否</v>
      </c>
      <c r="G168" s="10" t="n">
        <f aca="false">IF(F168="是",MAX(0,$B$14-E168),0)</f>
        <v>0</v>
      </c>
      <c r="H168" s="10" t="n">
        <f aca="false">MIN(E168,B168)</f>
        <v>11</v>
      </c>
      <c r="I168" s="10" t="n">
        <f aca="false">MAX(0,B168-E168)</f>
        <v>0</v>
      </c>
      <c r="J168" s="10" t="n">
        <f aca="false">E168-H168</f>
        <v>184</v>
      </c>
      <c r="K168" s="10" t="n">
        <f aca="false">J168*$B$10</f>
        <v>4.03287671232877</v>
      </c>
      <c r="L168" s="10" t="n">
        <f aca="false">IF(F168="是",$B$11,0)</f>
        <v>0</v>
      </c>
      <c r="M168" s="10" t="n">
        <f aca="false">I168*$B$12</f>
        <v>0</v>
      </c>
    </row>
    <row r="169" customFormat="false" ht="15" hidden="false" customHeight="false" outlineLevel="0" collapsed="false">
      <c r="A169" s="12" t="n">
        <v>56</v>
      </c>
      <c r="B169" s="10" t="n">
        <f aca="true">ROUND(MAX(0,NORMINV(RAND(),$B$5,$B$6)),0)</f>
        <v>13</v>
      </c>
      <c r="C169" s="10" t="n">
        <f aca="false">J168</f>
        <v>184</v>
      </c>
      <c r="D169" s="10" t="n">
        <f aca="false">IF(ROW()-$B$7&gt;=114,INDEX($G$114:$G$203,ROW()-$B$7-114+1),0)</f>
        <v>0</v>
      </c>
      <c r="E169" s="10" t="n">
        <f aca="false">C169+D169</f>
        <v>184</v>
      </c>
      <c r="F169" s="10" t="str">
        <f aca="false">IF(MOD(A169,$B$13)=0,"是","否")</f>
        <v>否</v>
      </c>
      <c r="G169" s="10" t="n">
        <f aca="false">IF(F169="是",MAX(0,$B$14-E169),0)</f>
        <v>0</v>
      </c>
      <c r="H169" s="10" t="n">
        <f aca="false">MIN(E169,B169)</f>
        <v>13</v>
      </c>
      <c r="I169" s="10" t="n">
        <f aca="false">MAX(0,B169-E169)</f>
        <v>0</v>
      </c>
      <c r="J169" s="10" t="n">
        <f aca="false">E169-H169</f>
        <v>171</v>
      </c>
      <c r="K169" s="10" t="n">
        <f aca="false">J169*$B$10</f>
        <v>3.74794520547945</v>
      </c>
      <c r="L169" s="10" t="n">
        <f aca="false">IF(F169="是",$B$11,0)</f>
        <v>0</v>
      </c>
      <c r="M169" s="10" t="n">
        <f aca="false">I169*$B$12</f>
        <v>0</v>
      </c>
    </row>
    <row r="170" customFormat="false" ht="15" hidden="false" customHeight="false" outlineLevel="0" collapsed="false">
      <c r="A170" s="12" t="n">
        <v>57</v>
      </c>
      <c r="B170" s="10" t="n">
        <f aca="true">ROUND(MAX(0,NORMINV(RAND(),$B$5,$B$6)),0)</f>
        <v>13</v>
      </c>
      <c r="C170" s="10" t="n">
        <f aca="false">J169</f>
        <v>171</v>
      </c>
      <c r="D170" s="10" t="n">
        <f aca="false">IF(ROW()-$B$7&gt;=114,INDEX($G$114:$G$203,ROW()-$B$7-114+1),0)</f>
        <v>0</v>
      </c>
      <c r="E170" s="10" t="n">
        <f aca="false">C170+D170</f>
        <v>171</v>
      </c>
      <c r="F170" s="10" t="str">
        <f aca="false">IF(MOD(A170,$B$13)=0,"是","否")</f>
        <v>否</v>
      </c>
      <c r="G170" s="10" t="n">
        <f aca="false">IF(F170="是",MAX(0,$B$14-E170),0)</f>
        <v>0</v>
      </c>
      <c r="H170" s="10" t="n">
        <f aca="false">MIN(E170,B170)</f>
        <v>13</v>
      </c>
      <c r="I170" s="10" t="n">
        <f aca="false">MAX(0,B170-E170)</f>
        <v>0</v>
      </c>
      <c r="J170" s="10" t="n">
        <f aca="false">E170-H170</f>
        <v>158</v>
      </c>
      <c r="K170" s="10" t="n">
        <f aca="false">J170*$B$10</f>
        <v>3.46301369863014</v>
      </c>
      <c r="L170" s="10" t="n">
        <f aca="false">IF(F170="是",$B$11,0)</f>
        <v>0</v>
      </c>
      <c r="M170" s="10" t="n">
        <f aca="false">I170*$B$12</f>
        <v>0</v>
      </c>
    </row>
    <row r="171" customFormat="false" ht="15" hidden="false" customHeight="false" outlineLevel="0" collapsed="false">
      <c r="A171" s="12" t="n">
        <v>58</v>
      </c>
      <c r="B171" s="10" t="n">
        <f aca="true">ROUND(MAX(0,NORMINV(RAND(),$B$5,$B$6)),0)</f>
        <v>19</v>
      </c>
      <c r="C171" s="10" t="n">
        <f aca="false">J170</f>
        <v>158</v>
      </c>
      <c r="D171" s="10" t="n">
        <f aca="false">IF(ROW()-$B$7&gt;=114,INDEX($G$114:$G$203,ROW()-$B$7-114+1),0)</f>
        <v>0</v>
      </c>
      <c r="E171" s="10" t="n">
        <f aca="false">C171+D171</f>
        <v>158</v>
      </c>
      <c r="F171" s="10" t="str">
        <f aca="false">IF(MOD(A171,$B$13)=0,"是","否")</f>
        <v>否</v>
      </c>
      <c r="G171" s="10" t="n">
        <f aca="false">IF(F171="是",MAX(0,$B$14-E171),0)</f>
        <v>0</v>
      </c>
      <c r="H171" s="10" t="n">
        <f aca="false">MIN(E171,B171)</f>
        <v>19</v>
      </c>
      <c r="I171" s="10" t="n">
        <f aca="false">MAX(0,B171-E171)</f>
        <v>0</v>
      </c>
      <c r="J171" s="10" t="n">
        <f aca="false">E171-H171</f>
        <v>139</v>
      </c>
      <c r="K171" s="10" t="n">
        <f aca="false">J171*$B$10</f>
        <v>3.04657534246575</v>
      </c>
      <c r="L171" s="10" t="n">
        <f aca="false">IF(F171="是",$B$11,0)</f>
        <v>0</v>
      </c>
      <c r="M171" s="10" t="n">
        <f aca="false">I171*$B$12</f>
        <v>0</v>
      </c>
    </row>
    <row r="172" customFormat="false" ht="15" hidden="false" customHeight="false" outlineLevel="0" collapsed="false">
      <c r="A172" s="12" t="n">
        <v>59</v>
      </c>
      <c r="B172" s="10" t="n">
        <f aca="true">ROUND(MAX(0,NORMINV(RAND(),$B$5,$B$6)),0)</f>
        <v>12</v>
      </c>
      <c r="C172" s="10" t="n">
        <f aca="false">J171</f>
        <v>139</v>
      </c>
      <c r="D172" s="10" t="n">
        <f aca="false">IF(ROW()-$B$7&gt;=114,INDEX($G$114:$G$203,ROW()-$B$7-114+1),0)</f>
        <v>0</v>
      </c>
      <c r="E172" s="10" t="n">
        <f aca="false">C172+D172</f>
        <v>139</v>
      </c>
      <c r="F172" s="10" t="str">
        <f aca="false">IF(MOD(A172,$B$13)=0,"是","否")</f>
        <v>否</v>
      </c>
      <c r="G172" s="10" t="n">
        <f aca="false">IF(F172="是",MAX(0,$B$14-E172),0)</f>
        <v>0</v>
      </c>
      <c r="H172" s="10" t="n">
        <f aca="false">MIN(E172,B172)</f>
        <v>12</v>
      </c>
      <c r="I172" s="10" t="n">
        <f aca="false">MAX(0,B172-E172)</f>
        <v>0</v>
      </c>
      <c r="J172" s="10" t="n">
        <f aca="false">E172-H172</f>
        <v>127</v>
      </c>
      <c r="K172" s="10" t="n">
        <f aca="false">J172*$B$10</f>
        <v>2.78356164383562</v>
      </c>
      <c r="L172" s="10" t="n">
        <f aca="false">IF(F172="是",$B$11,0)</f>
        <v>0</v>
      </c>
      <c r="M172" s="10" t="n">
        <f aca="false">I172*$B$12</f>
        <v>0</v>
      </c>
    </row>
    <row r="173" customFormat="false" ht="15" hidden="false" customHeight="false" outlineLevel="0" collapsed="false">
      <c r="A173" s="12" t="n">
        <v>60</v>
      </c>
      <c r="B173" s="10" t="n">
        <f aca="true">ROUND(MAX(0,NORMINV(RAND(),$B$5,$B$6)),0)</f>
        <v>15</v>
      </c>
      <c r="C173" s="10" t="n">
        <f aca="false">J172</f>
        <v>127</v>
      </c>
      <c r="D173" s="10" t="n">
        <f aca="false">IF(ROW()-$B$7&gt;=114,INDEX($G$114:$G$203,ROW()-$B$7-114+1),0)</f>
        <v>0</v>
      </c>
      <c r="E173" s="10" t="n">
        <f aca="false">C173+D173</f>
        <v>127</v>
      </c>
      <c r="F173" s="10" t="str">
        <f aca="false">IF(MOD(A173,$B$13)=0,"是","否")</f>
        <v>是</v>
      </c>
      <c r="G173" s="10" t="n">
        <f aca="false">IF(F173="是",MAX(0,$B$14-E173),0)</f>
        <v>453</v>
      </c>
      <c r="H173" s="10" t="n">
        <f aca="false">MIN(E173,B173)</f>
        <v>15</v>
      </c>
      <c r="I173" s="10" t="n">
        <f aca="false">MAX(0,B173-E173)</f>
        <v>0</v>
      </c>
      <c r="J173" s="10" t="n">
        <f aca="false">E173-H173</f>
        <v>112</v>
      </c>
      <c r="K173" s="10" t="n">
        <f aca="false">J173*$B$10</f>
        <v>2.45479452054795</v>
      </c>
      <c r="L173" s="10" t="n">
        <f aca="false">IF(F173="是",$B$11,0)</f>
        <v>150</v>
      </c>
      <c r="M173" s="10" t="n">
        <f aca="false">I173*$B$12</f>
        <v>0</v>
      </c>
    </row>
    <row r="174" customFormat="false" ht="15" hidden="false" customHeight="false" outlineLevel="0" collapsed="false">
      <c r="A174" s="12" t="n">
        <v>61</v>
      </c>
      <c r="B174" s="10" t="n">
        <f aca="true">ROUND(MAX(0,NORMINV(RAND(),$B$5,$B$6)),0)</f>
        <v>22</v>
      </c>
      <c r="C174" s="10" t="n">
        <f aca="false">J173</f>
        <v>112</v>
      </c>
      <c r="D174" s="10" t="n">
        <f aca="false">IF(ROW()-$B$7&gt;=114,INDEX($G$114:$G$203,ROW()-$B$7-114+1),0)</f>
        <v>0</v>
      </c>
      <c r="E174" s="10" t="n">
        <f aca="false">C174+D174</f>
        <v>112</v>
      </c>
      <c r="F174" s="10" t="str">
        <f aca="false">IF(MOD(A174,$B$13)=0,"是","否")</f>
        <v>否</v>
      </c>
      <c r="G174" s="10" t="n">
        <f aca="false">IF(F174="是",MAX(0,$B$14-E174),0)</f>
        <v>0</v>
      </c>
      <c r="H174" s="10" t="n">
        <f aca="false">MIN(E174,B174)</f>
        <v>22</v>
      </c>
      <c r="I174" s="10" t="n">
        <f aca="false">MAX(0,B174-E174)</f>
        <v>0</v>
      </c>
      <c r="J174" s="10" t="n">
        <f aca="false">E174-H174</f>
        <v>90</v>
      </c>
      <c r="K174" s="10" t="n">
        <f aca="false">J174*$B$10</f>
        <v>1.97260273972603</v>
      </c>
      <c r="L174" s="10" t="n">
        <f aca="false">IF(F174="是",$B$11,0)</f>
        <v>0</v>
      </c>
      <c r="M174" s="10" t="n">
        <f aca="false">I174*$B$12</f>
        <v>0</v>
      </c>
    </row>
    <row r="175" customFormat="false" ht="15" hidden="false" customHeight="false" outlineLevel="0" collapsed="false">
      <c r="A175" s="12" t="n">
        <v>62</v>
      </c>
      <c r="B175" s="10" t="n">
        <f aca="true">ROUND(MAX(0,NORMINV(RAND(),$B$5,$B$6)),0)</f>
        <v>16</v>
      </c>
      <c r="C175" s="10" t="n">
        <f aca="false">J174</f>
        <v>90</v>
      </c>
      <c r="D175" s="10" t="n">
        <f aca="false">IF(ROW()-$B$7&gt;=114,INDEX($G$114:$G$203,ROW()-$B$7-114+1),0)</f>
        <v>0</v>
      </c>
      <c r="E175" s="10" t="n">
        <f aca="false">C175+D175</f>
        <v>90</v>
      </c>
      <c r="F175" s="10" t="str">
        <f aca="false">IF(MOD(A175,$B$13)=0,"是","否")</f>
        <v>否</v>
      </c>
      <c r="G175" s="10" t="n">
        <f aca="false">IF(F175="是",MAX(0,$B$14-E175),0)</f>
        <v>0</v>
      </c>
      <c r="H175" s="10" t="n">
        <f aca="false">MIN(E175,B175)</f>
        <v>16</v>
      </c>
      <c r="I175" s="10" t="n">
        <f aca="false">MAX(0,B175-E175)</f>
        <v>0</v>
      </c>
      <c r="J175" s="10" t="n">
        <f aca="false">E175-H175</f>
        <v>74</v>
      </c>
      <c r="K175" s="10" t="n">
        <f aca="false">J175*$B$10</f>
        <v>1.62191780821918</v>
      </c>
      <c r="L175" s="10" t="n">
        <f aca="false">IF(F175="是",$B$11,0)</f>
        <v>0</v>
      </c>
      <c r="M175" s="10" t="n">
        <f aca="false">I175*$B$12</f>
        <v>0</v>
      </c>
    </row>
    <row r="176" customFormat="false" ht="15" hidden="false" customHeight="false" outlineLevel="0" collapsed="false">
      <c r="A176" s="12" t="n">
        <v>63</v>
      </c>
      <c r="B176" s="10" t="n">
        <f aca="true">ROUND(MAX(0,NORMINV(RAND(),$B$5,$B$6)),0)</f>
        <v>17</v>
      </c>
      <c r="C176" s="10" t="n">
        <f aca="false">J175</f>
        <v>74</v>
      </c>
      <c r="D176" s="10" t="n">
        <f aca="false">IF(ROW()-$B$7&gt;=114,INDEX($G$114:$G$203,ROW()-$B$7-114+1),0)</f>
        <v>0</v>
      </c>
      <c r="E176" s="10" t="n">
        <f aca="false">C176+D176</f>
        <v>74</v>
      </c>
      <c r="F176" s="10" t="str">
        <f aca="false">IF(MOD(A176,$B$13)=0,"是","否")</f>
        <v>否</v>
      </c>
      <c r="G176" s="10" t="n">
        <f aca="false">IF(F176="是",MAX(0,$B$14-E176),0)</f>
        <v>0</v>
      </c>
      <c r="H176" s="10" t="n">
        <f aca="false">MIN(E176,B176)</f>
        <v>17</v>
      </c>
      <c r="I176" s="10" t="n">
        <f aca="false">MAX(0,B176-E176)</f>
        <v>0</v>
      </c>
      <c r="J176" s="10" t="n">
        <f aca="false">E176-H176</f>
        <v>57</v>
      </c>
      <c r="K176" s="10" t="n">
        <f aca="false">J176*$B$10</f>
        <v>1.24931506849315</v>
      </c>
      <c r="L176" s="10" t="n">
        <f aca="false">IF(F176="是",$B$11,0)</f>
        <v>0</v>
      </c>
      <c r="M176" s="10" t="n">
        <f aca="false">I176*$B$12</f>
        <v>0</v>
      </c>
    </row>
    <row r="177" customFormat="false" ht="15" hidden="false" customHeight="false" outlineLevel="0" collapsed="false">
      <c r="A177" s="12" t="n">
        <v>64</v>
      </c>
      <c r="B177" s="10" t="n">
        <f aca="true">ROUND(MAX(0,NORMINV(RAND(),$B$5,$B$6)),0)</f>
        <v>12</v>
      </c>
      <c r="C177" s="10" t="n">
        <f aca="false">J176</f>
        <v>57</v>
      </c>
      <c r="D177" s="10" t="n">
        <f aca="false">IF(ROW()-$B$7&gt;=114,INDEX($G$114:$G$203,ROW()-$B$7-114+1),0)</f>
        <v>0</v>
      </c>
      <c r="E177" s="10" t="n">
        <f aca="false">C177+D177</f>
        <v>57</v>
      </c>
      <c r="F177" s="10" t="str">
        <f aca="false">IF(MOD(A177,$B$13)=0,"是","否")</f>
        <v>否</v>
      </c>
      <c r="G177" s="10" t="n">
        <f aca="false">IF(F177="是",MAX(0,$B$14-E177),0)</f>
        <v>0</v>
      </c>
      <c r="H177" s="10" t="n">
        <f aca="false">MIN(E177,B177)</f>
        <v>12</v>
      </c>
      <c r="I177" s="10" t="n">
        <f aca="false">MAX(0,B177-E177)</f>
        <v>0</v>
      </c>
      <c r="J177" s="10" t="n">
        <f aca="false">E177-H177</f>
        <v>45</v>
      </c>
      <c r="K177" s="10" t="n">
        <f aca="false">J177*$B$10</f>
        <v>0.986301369863014</v>
      </c>
      <c r="L177" s="10" t="n">
        <f aca="false">IF(F177="是",$B$11,0)</f>
        <v>0</v>
      </c>
      <c r="M177" s="10" t="n">
        <f aca="false">I177*$B$12</f>
        <v>0</v>
      </c>
    </row>
    <row r="178" customFormat="false" ht="15" hidden="false" customHeight="false" outlineLevel="0" collapsed="false">
      <c r="A178" s="12" t="n">
        <v>65</v>
      </c>
      <c r="B178" s="10" t="n">
        <f aca="true">ROUND(MAX(0,NORMINV(RAND(),$B$5,$B$6)),0)</f>
        <v>16</v>
      </c>
      <c r="C178" s="10" t="n">
        <f aca="false">J177</f>
        <v>45</v>
      </c>
      <c r="D178" s="10" t="n">
        <f aca="false">IF(ROW()-$B$7&gt;=114,INDEX($G$114:$G$203,ROW()-$B$7-114+1),0)</f>
        <v>0</v>
      </c>
      <c r="E178" s="10" t="n">
        <f aca="false">C178+D178</f>
        <v>45</v>
      </c>
      <c r="F178" s="10" t="str">
        <f aca="false">IF(MOD(A178,$B$13)=0,"是","否")</f>
        <v>否</v>
      </c>
      <c r="G178" s="10" t="n">
        <f aca="false">IF(F178="是",MAX(0,$B$14-E178),0)</f>
        <v>0</v>
      </c>
      <c r="H178" s="10" t="n">
        <f aca="false">MIN(E178,B178)</f>
        <v>16</v>
      </c>
      <c r="I178" s="10" t="n">
        <f aca="false">MAX(0,B178-E178)</f>
        <v>0</v>
      </c>
      <c r="J178" s="10" t="n">
        <f aca="false">E178-H178</f>
        <v>29</v>
      </c>
      <c r="K178" s="10" t="n">
        <f aca="false">J178*$B$10</f>
        <v>0.635616438356164</v>
      </c>
      <c r="L178" s="10" t="n">
        <f aca="false">IF(F178="是",$B$11,0)</f>
        <v>0</v>
      </c>
      <c r="M178" s="10" t="n">
        <f aca="false">I178*$B$12</f>
        <v>0</v>
      </c>
    </row>
    <row r="179" customFormat="false" ht="15" hidden="false" customHeight="false" outlineLevel="0" collapsed="false">
      <c r="A179" s="12" t="n">
        <v>66</v>
      </c>
      <c r="B179" s="10" t="n">
        <f aca="true">ROUND(MAX(0,NORMINV(RAND(),$B$5,$B$6)),0)</f>
        <v>12</v>
      </c>
      <c r="C179" s="10" t="n">
        <f aca="false">J178</f>
        <v>29</v>
      </c>
      <c r="D179" s="10" t="n">
        <f aca="false">IF(ROW()-$B$7&gt;=114,INDEX($G$114:$G$203,ROW()-$B$7-114+1),0)</f>
        <v>453</v>
      </c>
      <c r="E179" s="10" t="n">
        <f aca="false">C179+D179</f>
        <v>482</v>
      </c>
      <c r="F179" s="10" t="str">
        <f aca="false">IF(MOD(A179,$B$13)=0,"是","否")</f>
        <v>否</v>
      </c>
      <c r="G179" s="10" t="n">
        <f aca="false">IF(F179="是",MAX(0,$B$14-E179),0)</f>
        <v>0</v>
      </c>
      <c r="H179" s="10" t="n">
        <f aca="false">MIN(E179,B179)</f>
        <v>12</v>
      </c>
      <c r="I179" s="10" t="n">
        <f aca="false">MAX(0,B179-E179)</f>
        <v>0</v>
      </c>
      <c r="J179" s="10" t="n">
        <f aca="false">E179-H179</f>
        <v>470</v>
      </c>
      <c r="K179" s="10" t="n">
        <f aca="false">J179*$B$10</f>
        <v>10.3013698630137</v>
      </c>
      <c r="L179" s="10" t="n">
        <f aca="false">IF(F179="是",$B$11,0)</f>
        <v>0</v>
      </c>
      <c r="M179" s="10" t="n">
        <f aca="false">I179*$B$12</f>
        <v>0</v>
      </c>
    </row>
    <row r="180" customFormat="false" ht="15" hidden="false" customHeight="false" outlineLevel="0" collapsed="false">
      <c r="A180" s="12" t="n">
        <v>67</v>
      </c>
      <c r="B180" s="10" t="n">
        <f aca="true">ROUND(MAX(0,NORMINV(RAND(),$B$5,$B$6)),0)</f>
        <v>10</v>
      </c>
      <c r="C180" s="10" t="n">
        <f aca="false">J179</f>
        <v>470</v>
      </c>
      <c r="D180" s="10" t="n">
        <f aca="false">IF(ROW()-$B$7&gt;=114,INDEX($G$114:$G$203,ROW()-$B$7-114+1),0)</f>
        <v>0</v>
      </c>
      <c r="E180" s="10" t="n">
        <f aca="false">C180+D180</f>
        <v>470</v>
      </c>
      <c r="F180" s="10" t="str">
        <f aca="false">IF(MOD(A180,$B$13)=0,"是","否")</f>
        <v>否</v>
      </c>
      <c r="G180" s="10" t="n">
        <f aca="false">IF(F180="是",MAX(0,$B$14-E180),0)</f>
        <v>0</v>
      </c>
      <c r="H180" s="10" t="n">
        <f aca="false">MIN(E180,B180)</f>
        <v>10</v>
      </c>
      <c r="I180" s="10" t="n">
        <f aca="false">MAX(0,B180-E180)</f>
        <v>0</v>
      </c>
      <c r="J180" s="10" t="n">
        <f aca="false">E180-H180</f>
        <v>460</v>
      </c>
      <c r="K180" s="10" t="n">
        <f aca="false">J180*$B$10</f>
        <v>10.0821917808219</v>
      </c>
      <c r="L180" s="10" t="n">
        <f aca="false">IF(F180="是",$B$11,0)</f>
        <v>0</v>
      </c>
      <c r="M180" s="10" t="n">
        <f aca="false">I180*$B$12</f>
        <v>0</v>
      </c>
    </row>
    <row r="181" customFormat="false" ht="15" hidden="false" customHeight="false" outlineLevel="0" collapsed="false">
      <c r="A181" s="12" t="n">
        <v>68</v>
      </c>
      <c r="B181" s="10" t="n">
        <f aca="true">ROUND(MAX(0,NORMINV(RAND(),$B$5,$B$6)),0)</f>
        <v>10</v>
      </c>
      <c r="C181" s="10" t="n">
        <f aca="false">J180</f>
        <v>460</v>
      </c>
      <c r="D181" s="10" t="n">
        <f aca="false">IF(ROW()-$B$7&gt;=114,INDEX($G$114:$G$203,ROW()-$B$7-114+1),0)</f>
        <v>0</v>
      </c>
      <c r="E181" s="10" t="n">
        <f aca="false">C181+D181</f>
        <v>460</v>
      </c>
      <c r="F181" s="10" t="str">
        <f aca="false">IF(MOD(A181,$B$13)=0,"是","否")</f>
        <v>否</v>
      </c>
      <c r="G181" s="10" t="n">
        <f aca="false">IF(F181="是",MAX(0,$B$14-E181),0)</f>
        <v>0</v>
      </c>
      <c r="H181" s="10" t="n">
        <f aca="false">MIN(E181,B181)</f>
        <v>10</v>
      </c>
      <c r="I181" s="10" t="n">
        <f aca="false">MAX(0,B181-E181)</f>
        <v>0</v>
      </c>
      <c r="J181" s="10" t="n">
        <f aca="false">E181-H181</f>
        <v>450</v>
      </c>
      <c r="K181" s="10" t="n">
        <f aca="false">J181*$B$10</f>
        <v>9.86301369863014</v>
      </c>
      <c r="L181" s="10" t="n">
        <f aca="false">IF(F181="是",$B$11,0)</f>
        <v>0</v>
      </c>
      <c r="M181" s="10" t="n">
        <f aca="false">I181*$B$12</f>
        <v>0</v>
      </c>
    </row>
    <row r="182" customFormat="false" ht="15" hidden="false" customHeight="false" outlineLevel="0" collapsed="false">
      <c r="A182" s="12" t="n">
        <v>69</v>
      </c>
      <c r="B182" s="10" t="n">
        <f aca="true">ROUND(MAX(0,NORMINV(RAND(),$B$5,$B$6)),0)</f>
        <v>14</v>
      </c>
      <c r="C182" s="10" t="n">
        <f aca="false">J181</f>
        <v>450</v>
      </c>
      <c r="D182" s="10" t="n">
        <f aca="false">IF(ROW()-$B$7&gt;=114,INDEX($G$114:$G$203,ROW()-$B$7-114+1),0)</f>
        <v>0</v>
      </c>
      <c r="E182" s="10" t="n">
        <f aca="false">C182+D182</f>
        <v>450</v>
      </c>
      <c r="F182" s="10" t="str">
        <f aca="false">IF(MOD(A182,$B$13)=0,"是","否")</f>
        <v>否</v>
      </c>
      <c r="G182" s="10" t="n">
        <f aca="false">IF(F182="是",MAX(0,$B$14-E182),0)</f>
        <v>0</v>
      </c>
      <c r="H182" s="10" t="n">
        <f aca="false">MIN(E182,B182)</f>
        <v>14</v>
      </c>
      <c r="I182" s="10" t="n">
        <f aca="false">MAX(0,B182-E182)</f>
        <v>0</v>
      </c>
      <c r="J182" s="10" t="n">
        <f aca="false">E182-H182</f>
        <v>436</v>
      </c>
      <c r="K182" s="10" t="n">
        <f aca="false">J182*$B$10</f>
        <v>9.55616438356164</v>
      </c>
      <c r="L182" s="10" t="n">
        <f aca="false">IF(F182="是",$B$11,0)</f>
        <v>0</v>
      </c>
      <c r="M182" s="10" t="n">
        <f aca="false">I182*$B$12</f>
        <v>0</v>
      </c>
    </row>
    <row r="183" customFormat="false" ht="15" hidden="false" customHeight="false" outlineLevel="0" collapsed="false">
      <c r="A183" s="12" t="n">
        <v>70</v>
      </c>
      <c r="B183" s="10" t="n">
        <f aca="true">ROUND(MAX(0,NORMINV(RAND(),$B$5,$B$6)),0)</f>
        <v>14</v>
      </c>
      <c r="C183" s="10" t="n">
        <f aca="false">J182</f>
        <v>436</v>
      </c>
      <c r="D183" s="10" t="n">
        <f aca="false">IF(ROW()-$B$7&gt;=114,INDEX($G$114:$G$203,ROW()-$B$7-114+1),0)</f>
        <v>0</v>
      </c>
      <c r="E183" s="10" t="n">
        <f aca="false">C183+D183</f>
        <v>436</v>
      </c>
      <c r="F183" s="10" t="str">
        <f aca="false">IF(MOD(A183,$B$13)=0,"是","否")</f>
        <v>否</v>
      </c>
      <c r="G183" s="10" t="n">
        <f aca="false">IF(F183="是",MAX(0,$B$14-E183),0)</f>
        <v>0</v>
      </c>
      <c r="H183" s="10" t="n">
        <f aca="false">MIN(E183,B183)</f>
        <v>14</v>
      </c>
      <c r="I183" s="10" t="n">
        <f aca="false">MAX(0,B183-E183)</f>
        <v>0</v>
      </c>
      <c r="J183" s="10" t="n">
        <f aca="false">E183-H183</f>
        <v>422</v>
      </c>
      <c r="K183" s="10" t="n">
        <f aca="false">J183*$B$10</f>
        <v>9.24931506849315</v>
      </c>
      <c r="L183" s="10" t="n">
        <f aca="false">IF(F183="是",$B$11,0)</f>
        <v>0</v>
      </c>
      <c r="M183" s="10" t="n">
        <f aca="false">I183*$B$12</f>
        <v>0</v>
      </c>
    </row>
    <row r="184" customFormat="false" ht="15" hidden="false" customHeight="false" outlineLevel="0" collapsed="false">
      <c r="A184" s="12" t="n">
        <v>71</v>
      </c>
      <c r="B184" s="10" t="n">
        <f aca="true">ROUND(MAX(0,NORMINV(RAND(),$B$5,$B$6)),0)</f>
        <v>18</v>
      </c>
      <c r="C184" s="10" t="n">
        <f aca="false">J183</f>
        <v>422</v>
      </c>
      <c r="D184" s="10" t="n">
        <f aca="false">IF(ROW()-$B$7&gt;=114,INDEX($G$114:$G$203,ROW()-$B$7-114+1),0)</f>
        <v>0</v>
      </c>
      <c r="E184" s="10" t="n">
        <f aca="false">C184+D184</f>
        <v>422</v>
      </c>
      <c r="F184" s="10" t="str">
        <f aca="false">IF(MOD(A184,$B$13)=0,"是","否")</f>
        <v>否</v>
      </c>
      <c r="G184" s="10" t="n">
        <f aca="false">IF(F184="是",MAX(0,$B$14-E184),0)</f>
        <v>0</v>
      </c>
      <c r="H184" s="10" t="n">
        <f aca="false">MIN(E184,B184)</f>
        <v>18</v>
      </c>
      <c r="I184" s="10" t="n">
        <f aca="false">MAX(0,B184-E184)</f>
        <v>0</v>
      </c>
      <c r="J184" s="10" t="n">
        <f aca="false">E184-H184</f>
        <v>404</v>
      </c>
      <c r="K184" s="10" t="n">
        <f aca="false">J184*$B$10</f>
        <v>8.85479452054794</v>
      </c>
      <c r="L184" s="10" t="n">
        <f aca="false">IF(F184="是",$B$11,0)</f>
        <v>0</v>
      </c>
      <c r="M184" s="10" t="n">
        <f aca="false">I184*$B$12</f>
        <v>0</v>
      </c>
    </row>
    <row r="185" customFormat="false" ht="15" hidden="false" customHeight="false" outlineLevel="0" collapsed="false">
      <c r="A185" s="12" t="n">
        <v>72</v>
      </c>
      <c r="B185" s="10" t="n">
        <f aca="true">ROUND(MAX(0,NORMINV(RAND(),$B$5,$B$6)),0)</f>
        <v>20</v>
      </c>
      <c r="C185" s="10" t="n">
        <f aca="false">J184</f>
        <v>404</v>
      </c>
      <c r="D185" s="10" t="n">
        <f aca="false">IF(ROW()-$B$7&gt;=114,INDEX($G$114:$G$203,ROW()-$B$7-114+1),0)</f>
        <v>0</v>
      </c>
      <c r="E185" s="10" t="n">
        <f aca="false">C185+D185</f>
        <v>404</v>
      </c>
      <c r="F185" s="10" t="str">
        <f aca="false">IF(MOD(A185,$B$13)=0,"是","否")</f>
        <v>否</v>
      </c>
      <c r="G185" s="10" t="n">
        <f aca="false">IF(F185="是",MAX(0,$B$14-E185),0)</f>
        <v>0</v>
      </c>
      <c r="H185" s="10" t="n">
        <f aca="false">MIN(E185,B185)</f>
        <v>20</v>
      </c>
      <c r="I185" s="10" t="n">
        <f aca="false">MAX(0,B185-E185)</f>
        <v>0</v>
      </c>
      <c r="J185" s="10" t="n">
        <f aca="false">E185-H185</f>
        <v>384</v>
      </c>
      <c r="K185" s="10" t="n">
        <f aca="false">J185*$B$10</f>
        <v>8.41643835616438</v>
      </c>
      <c r="L185" s="10" t="n">
        <f aca="false">IF(F185="是",$B$11,0)</f>
        <v>0</v>
      </c>
      <c r="M185" s="10" t="n">
        <f aca="false">I185*$B$12</f>
        <v>0</v>
      </c>
    </row>
    <row r="186" customFormat="false" ht="15" hidden="false" customHeight="false" outlineLevel="0" collapsed="false">
      <c r="A186" s="12" t="n">
        <v>73</v>
      </c>
      <c r="B186" s="10" t="n">
        <f aca="true">ROUND(MAX(0,NORMINV(RAND(),$B$5,$B$6)),0)</f>
        <v>16</v>
      </c>
      <c r="C186" s="10" t="n">
        <f aca="false">J185</f>
        <v>384</v>
      </c>
      <c r="D186" s="10" t="n">
        <f aca="false">IF(ROW()-$B$7&gt;=114,INDEX($G$114:$G$203,ROW()-$B$7-114+1),0)</f>
        <v>0</v>
      </c>
      <c r="E186" s="10" t="n">
        <f aca="false">C186+D186</f>
        <v>384</v>
      </c>
      <c r="F186" s="10" t="str">
        <f aca="false">IF(MOD(A186,$B$13)=0,"是","否")</f>
        <v>否</v>
      </c>
      <c r="G186" s="10" t="n">
        <f aca="false">IF(F186="是",MAX(0,$B$14-E186),0)</f>
        <v>0</v>
      </c>
      <c r="H186" s="10" t="n">
        <f aca="false">MIN(E186,B186)</f>
        <v>16</v>
      </c>
      <c r="I186" s="10" t="n">
        <f aca="false">MAX(0,B186-E186)</f>
        <v>0</v>
      </c>
      <c r="J186" s="10" t="n">
        <f aca="false">E186-H186</f>
        <v>368</v>
      </c>
      <c r="K186" s="10" t="n">
        <f aca="false">J186*$B$10</f>
        <v>8.06575342465753</v>
      </c>
      <c r="L186" s="10" t="n">
        <f aca="false">IF(F186="是",$B$11,0)</f>
        <v>0</v>
      </c>
      <c r="M186" s="10" t="n">
        <f aca="false">I186*$B$12</f>
        <v>0</v>
      </c>
    </row>
    <row r="187" customFormat="false" ht="15" hidden="false" customHeight="false" outlineLevel="0" collapsed="false">
      <c r="A187" s="12" t="n">
        <v>74</v>
      </c>
      <c r="B187" s="10" t="n">
        <f aca="true">ROUND(MAX(0,NORMINV(RAND(),$B$5,$B$6)),0)</f>
        <v>17</v>
      </c>
      <c r="C187" s="10" t="n">
        <f aca="false">J186</f>
        <v>368</v>
      </c>
      <c r="D187" s="10" t="n">
        <f aca="false">IF(ROW()-$B$7&gt;=114,INDEX($G$114:$G$203,ROW()-$B$7-114+1),0)</f>
        <v>0</v>
      </c>
      <c r="E187" s="10" t="n">
        <f aca="false">C187+D187</f>
        <v>368</v>
      </c>
      <c r="F187" s="10" t="str">
        <f aca="false">IF(MOD(A187,$B$13)=0,"是","否")</f>
        <v>否</v>
      </c>
      <c r="G187" s="10" t="n">
        <f aca="false">IF(F187="是",MAX(0,$B$14-E187),0)</f>
        <v>0</v>
      </c>
      <c r="H187" s="10" t="n">
        <f aca="false">MIN(E187,B187)</f>
        <v>17</v>
      </c>
      <c r="I187" s="10" t="n">
        <f aca="false">MAX(0,B187-E187)</f>
        <v>0</v>
      </c>
      <c r="J187" s="10" t="n">
        <f aca="false">E187-H187</f>
        <v>351</v>
      </c>
      <c r="K187" s="10" t="n">
        <f aca="false">J187*$B$10</f>
        <v>7.69315068493151</v>
      </c>
      <c r="L187" s="10" t="n">
        <f aca="false">IF(F187="是",$B$11,0)</f>
        <v>0</v>
      </c>
      <c r="M187" s="10" t="n">
        <f aca="false">I187*$B$12</f>
        <v>0</v>
      </c>
    </row>
    <row r="188" customFormat="false" ht="15" hidden="false" customHeight="false" outlineLevel="0" collapsed="false">
      <c r="A188" s="12" t="n">
        <v>75</v>
      </c>
      <c r="B188" s="10" t="n">
        <f aca="true">ROUND(MAX(0,NORMINV(RAND(),$B$5,$B$6)),0)</f>
        <v>24</v>
      </c>
      <c r="C188" s="10" t="n">
        <f aca="false">J187</f>
        <v>351</v>
      </c>
      <c r="D188" s="10" t="n">
        <f aca="false">IF(ROW()-$B$7&gt;=114,INDEX($G$114:$G$203,ROW()-$B$7-114+1),0)</f>
        <v>0</v>
      </c>
      <c r="E188" s="10" t="n">
        <f aca="false">C188+D188</f>
        <v>351</v>
      </c>
      <c r="F188" s="10" t="str">
        <f aca="false">IF(MOD(A188,$B$13)=0,"是","否")</f>
        <v>否</v>
      </c>
      <c r="G188" s="10" t="n">
        <f aca="false">IF(F188="是",MAX(0,$B$14-E188),0)</f>
        <v>0</v>
      </c>
      <c r="H188" s="10" t="n">
        <f aca="false">MIN(E188,B188)</f>
        <v>24</v>
      </c>
      <c r="I188" s="10" t="n">
        <f aca="false">MAX(0,B188-E188)</f>
        <v>0</v>
      </c>
      <c r="J188" s="10" t="n">
        <f aca="false">E188-H188</f>
        <v>327</v>
      </c>
      <c r="K188" s="10" t="n">
        <f aca="false">J188*$B$10</f>
        <v>7.16712328767123</v>
      </c>
      <c r="L188" s="10" t="n">
        <f aca="false">IF(F188="是",$B$11,0)</f>
        <v>0</v>
      </c>
      <c r="M188" s="10" t="n">
        <f aca="false">I188*$B$12</f>
        <v>0</v>
      </c>
    </row>
    <row r="189" customFormat="false" ht="15" hidden="false" customHeight="false" outlineLevel="0" collapsed="false">
      <c r="A189" s="12" t="n">
        <v>76</v>
      </c>
      <c r="B189" s="10" t="n">
        <f aca="true">ROUND(MAX(0,NORMINV(RAND(),$B$5,$B$6)),0)</f>
        <v>22</v>
      </c>
      <c r="C189" s="10" t="n">
        <f aca="false">J188</f>
        <v>327</v>
      </c>
      <c r="D189" s="10" t="n">
        <f aca="false">IF(ROW()-$B$7&gt;=114,INDEX($G$114:$G$203,ROW()-$B$7-114+1),0)</f>
        <v>0</v>
      </c>
      <c r="E189" s="10" t="n">
        <f aca="false">C189+D189</f>
        <v>327</v>
      </c>
      <c r="F189" s="10" t="str">
        <f aca="false">IF(MOD(A189,$B$13)=0,"是","否")</f>
        <v>否</v>
      </c>
      <c r="G189" s="10" t="n">
        <f aca="false">IF(F189="是",MAX(0,$B$14-E189),0)</f>
        <v>0</v>
      </c>
      <c r="H189" s="10" t="n">
        <f aca="false">MIN(E189,B189)</f>
        <v>22</v>
      </c>
      <c r="I189" s="10" t="n">
        <f aca="false">MAX(0,B189-E189)</f>
        <v>0</v>
      </c>
      <c r="J189" s="10" t="n">
        <f aca="false">E189-H189</f>
        <v>305</v>
      </c>
      <c r="K189" s="10" t="n">
        <f aca="false">J189*$B$10</f>
        <v>6.68493150684931</v>
      </c>
      <c r="L189" s="10" t="n">
        <f aca="false">IF(F189="是",$B$11,0)</f>
        <v>0</v>
      </c>
      <c r="M189" s="10" t="n">
        <f aca="false">I189*$B$12</f>
        <v>0</v>
      </c>
    </row>
    <row r="190" customFormat="false" ht="15" hidden="false" customHeight="false" outlineLevel="0" collapsed="false">
      <c r="A190" s="12" t="n">
        <v>77</v>
      </c>
      <c r="B190" s="10" t="n">
        <f aca="true">ROUND(MAX(0,NORMINV(RAND(),$B$5,$B$6)),0)</f>
        <v>13</v>
      </c>
      <c r="C190" s="10" t="n">
        <f aca="false">J189</f>
        <v>305</v>
      </c>
      <c r="D190" s="10" t="n">
        <f aca="false">IF(ROW()-$B$7&gt;=114,INDEX($G$114:$G$203,ROW()-$B$7-114+1),0)</f>
        <v>0</v>
      </c>
      <c r="E190" s="10" t="n">
        <f aca="false">C190+D190</f>
        <v>305</v>
      </c>
      <c r="F190" s="10" t="str">
        <f aca="false">IF(MOD(A190,$B$13)=0,"是","否")</f>
        <v>否</v>
      </c>
      <c r="G190" s="10" t="n">
        <f aca="false">IF(F190="是",MAX(0,$B$14-E190),0)</f>
        <v>0</v>
      </c>
      <c r="H190" s="10" t="n">
        <f aca="false">MIN(E190,B190)</f>
        <v>13</v>
      </c>
      <c r="I190" s="10" t="n">
        <f aca="false">MAX(0,B190-E190)</f>
        <v>0</v>
      </c>
      <c r="J190" s="10" t="n">
        <f aca="false">E190-H190</f>
        <v>292</v>
      </c>
      <c r="K190" s="10" t="n">
        <f aca="false">J190*$B$10</f>
        <v>6.4</v>
      </c>
      <c r="L190" s="10" t="n">
        <f aca="false">IF(F190="是",$B$11,0)</f>
        <v>0</v>
      </c>
      <c r="M190" s="10" t="n">
        <f aca="false">I190*$B$12</f>
        <v>0</v>
      </c>
    </row>
    <row r="191" customFormat="false" ht="15" hidden="false" customHeight="false" outlineLevel="0" collapsed="false">
      <c r="A191" s="12" t="n">
        <v>78</v>
      </c>
      <c r="B191" s="10" t="n">
        <f aca="true">ROUND(MAX(0,NORMINV(RAND(),$B$5,$B$6)),0)</f>
        <v>15</v>
      </c>
      <c r="C191" s="10" t="n">
        <f aca="false">J190</f>
        <v>292</v>
      </c>
      <c r="D191" s="10" t="n">
        <f aca="false">IF(ROW()-$B$7&gt;=114,INDEX($G$114:$G$203,ROW()-$B$7-114+1),0)</f>
        <v>0</v>
      </c>
      <c r="E191" s="10" t="n">
        <f aca="false">C191+D191</f>
        <v>292</v>
      </c>
      <c r="F191" s="10" t="str">
        <f aca="false">IF(MOD(A191,$B$13)=0,"是","否")</f>
        <v>否</v>
      </c>
      <c r="G191" s="10" t="n">
        <f aca="false">IF(F191="是",MAX(0,$B$14-E191),0)</f>
        <v>0</v>
      </c>
      <c r="H191" s="10" t="n">
        <f aca="false">MIN(E191,B191)</f>
        <v>15</v>
      </c>
      <c r="I191" s="10" t="n">
        <f aca="false">MAX(0,B191-E191)</f>
        <v>0</v>
      </c>
      <c r="J191" s="10" t="n">
        <f aca="false">E191-H191</f>
        <v>277</v>
      </c>
      <c r="K191" s="10" t="n">
        <f aca="false">J191*$B$10</f>
        <v>6.07123287671233</v>
      </c>
      <c r="L191" s="10" t="n">
        <f aca="false">IF(F191="是",$B$11,0)</f>
        <v>0</v>
      </c>
      <c r="M191" s="10" t="n">
        <f aca="false">I191*$B$12</f>
        <v>0</v>
      </c>
    </row>
    <row r="192" customFormat="false" ht="15" hidden="false" customHeight="false" outlineLevel="0" collapsed="false">
      <c r="A192" s="12" t="n">
        <v>79</v>
      </c>
      <c r="B192" s="10" t="n">
        <f aca="true">ROUND(MAX(0,NORMINV(RAND(),$B$5,$B$6)),0)</f>
        <v>14</v>
      </c>
      <c r="C192" s="10" t="n">
        <f aca="false">J191</f>
        <v>277</v>
      </c>
      <c r="D192" s="10" t="n">
        <f aca="false">IF(ROW()-$B$7&gt;=114,INDEX($G$114:$G$203,ROW()-$B$7-114+1),0)</f>
        <v>0</v>
      </c>
      <c r="E192" s="10" t="n">
        <f aca="false">C192+D192</f>
        <v>277</v>
      </c>
      <c r="F192" s="10" t="str">
        <f aca="false">IF(MOD(A192,$B$13)=0,"是","否")</f>
        <v>否</v>
      </c>
      <c r="G192" s="10" t="n">
        <f aca="false">IF(F192="是",MAX(0,$B$14-E192),0)</f>
        <v>0</v>
      </c>
      <c r="H192" s="10" t="n">
        <f aca="false">MIN(E192,B192)</f>
        <v>14</v>
      </c>
      <c r="I192" s="10" t="n">
        <f aca="false">MAX(0,B192-E192)</f>
        <v>0</v>
      </c>
      <c r="J192" s="10" t="n">
        <f aca="false">E192-H192</f>
        <v>263</v>
      </c>
      <c r="K192" s="10" t="n">
        <f aca="false">J192*$B$10</f>
        <v>5.76438356164384</v>
      </c>
      <c r="L192" s="10" t="n">
        <f aca="false">IF(F192="是",$B$11,0)</f>
        <v>0</v>
      </c>
      <c r="M192" s="10" t="n">
        <f aca="false">I192*$B$12</f>
        <v>0</v>
      </c>
    </row>
    <row r="193" customFormat="false" ht="15" hidden="false" customHeight="false" outlineLevel="0" collapsed="false">
      <c r="A193" s="12" t="n">
        <v>80</v>
      </c>
      <c r="B193" s="10" t="n">
        <f aca="true">ROUND(MAX(0,NORMINV(RAND(),$B$5,$B$6)),0)</f>
        <v>11</v>
      </c>
      <c r="C193" s="10" t="n">
        <f aca="false">J192</f>
        <v>263</v>
      </c>
      <c r="D193" s="10" t="n">
        <f aca="false">IF(ROW()-$B$7&gt;=114,INDEX($G$114:$G$203,ROW()-$B$7-114+1),0)</f>
        <v>0</v>
      </c>
      <c r="E193" s="10" t="n">
        <f aca="false">C193+D193</f>
        <v>263</v>
      </c>
      <c r="F193" s="10" t="str">
        <f aca="false">IF(MOD(A193,$B$13)=0,"是","否")</f>
        <v>否</v>
      </c>
      <c r="G193" s="10" t="n">
        <f aca="false">IF(F193="是",MAX(0,$B$14-E193),0)</f>
        <v>0</v>
      </c>
      <c r="H193" s="10" t="n">
        <f aca="false">MIN(E193,B193)</f>
        <v>11</v>
      </c>
      <c r="I193" s="10" t="n">
        <f aca="false">MAX(0,B193-E193)</f>
        <v>0</v>
      </c>
      <c r="J193" s="10" t="n">
        <f aca="false">E193-H193</f>
        <v>252</v>
      </c>
      <c r="K193" s="10" t="n">
        <f aca="false">J193*$B$10</f>
        <v>5.52328767123288</v>
      </c>
      <c r="L193" s="10" t="n">
        <f aca="false">IF(F193="是",$B$11,0)</f>
        <v>0</v>
      </c>
      <c r="M193" s="10" t="n">
        <f aca="false">I193*$B$12</f>
        <v>0</v>
      </c>
    </row>
    <row r="194" customFormat="false" ht="15" hidden="false" customHeight="false" outlineLevel="0" collapsed="false">
      <c r="A194" s="12" t="n">
        <v>81</v>
      </c>
      <c r="B194" s="10" t="n">
        <f aca="true">ROUND(MAX(0,NORMINV(RAND(),$B$5,$B$6)),0)</f>
        <v>18</v>
      </c>
      <c r="C194" s="10" t="n">
        <f aca="false">J193</f>
        <v>252</v>
      </c>
      <c r="D194" s="10" t="n">
        <f aca="false">IF(ROW()-$B$7&gt;=114,INDEX($G$114:$G$203,ROW()-$B$7-114+1),0)</f>
        <v>0</v>
      </c>
      <c r="E194" s="10" t="n">
        <f aca="false">C194+D194</f>
        <v>252</v>
      </c>
      <c r="F194" s="10" t="str">
        <f aca="false">IF(MOD(A194,$B$13)=0,"是","否")</f>
        <v>否</v>
      </c>
      <c r="G194" s="10" t="n">
        <f aca="false">IF(F194="是",MAX(0,$B$14-E194),0)</f>
        <v>0</v>
      </c>
      <c r="H194" s="10" t="n">
        <f aca="false">MIN(E194,B194)</f>
        <v>18</v>
      </c>
      <c r="I194" s="10" t="n">
        <f aca="false">MAX(0,B194-E194)</f>
        <v>0</v>
      </c>
      <c r="J194" s="10" t="n">
        <f aca="false">E194-H194</f>
        <v>234</v>
      </c>
      <c r="K194" s="10" t="n">
        <f aca="false">J194*$B$10</f>
        <v>5.12876712328767</v>
      </c>
      <c r="L194" s="10" t="n">
        <f aca="false">IF(F194="是",$B$11,0)</f>
        <v>0</v>
      </c>
      <c r="M194" s="10" t="n">
        <f aca="false">I194*$B$12</f>
        <v>0</v>
      </c>
    </row>
    <row r="195" customFormat="false" ht="15" hidden="false" customHeight="false" outlineLevel="0" collapsed="false">
      <c r="A195" s="12" t="n">
        <v>82</v>
      </c>
      <c r="B195" s="10" t="n">
        <f aca="true">ROUND(MAX(0,NORMINV(RAND(),$B$5,$B$6)),0)</f>
        <v>24</v>
      </c>
      <c r="C195" s="10" t="n">
        <f aca="false">J194</f>
        <v>234</v>
      </c>
      <c r="D195" s="10" t="n">
        <f aca="false">IF(ROW()-$B$7&gt;=114,INDEX($G$114:$G$203,ROW()-$B$7-114+1),0)</f>
        <v>0</v>
      </c>
      <c r="E195" s="10" t="n">
        <f aca="false">C195+D195</f>
        <v>234</v>
      </c>
      <c r="F195" s="10" t="str">
        <f aca="false">IF(MOD(A195,$B$13)=0,"是","否")</f>
        <v>否</v>
      </c>
      <c r="G195" s="10" t="n">
        <f aca="false">IF(F195="是",MAX(0,$B$14-E195),0)</f>
        <v>0</v>
      </c>
      <c r="H195" s="10" t="n">
        <f aca="false">MIN(E195,B195)</f>
        <v>24</v>
      </c>
      <c r="I195" s="10" t="n">
        <f aca="false">MAX(0,B195-E195)</f>
        <v>0</v>
      </c>
      <c r="J195" s="10" t="n">
        <f aca="false">E195-H195</f>
        <v>210</v>
      </c>
      <c r="K195" s="10" t="n">
        <f aca="false">J195*$B$10</f>
        <v>4.6027397260274</v>
      </c>
      <c r="L195" s="10" t="n">
        <f aca="false">IF(F195="是",$B$11,0)</f>
        <v>0</v>
      </c>
      <c r="M195" s="10" t="n">
        <f aca="false">I195*$B$12</f>
        <v>0</v>
      </c>
    </row>
    <row r="196" customFormat="false" ht="15" hidden="false" customHeight="false" outlineLevel="0" collapsed="false">
      <c r="A196" s="12" t="n">
        <v>83</v>
      </c>
      <c r="B196" s="10" t="n">
        <f aca="true">ROUND(MAX(0,NORMINV(RAND(),$B$5,$B$6)),0)</f>
        <v>11</v>
      </c>
      <c r="C196" s="10" t="n">
        <f aca="false">J195</f>
        <v>210</v>
      </c>
      <c r="D196" s="10" t="n">
        <f aca="false">IF(ROW()-$B$7&gt;=114,INDEX($G$114:$G$203,ROW()-$B$7-114+1),0)</f>
        <v>0</v>
      </c>
      <c r="E196" s="10" t="n">
        <f aca="false">C196+D196</f>
        <v>210</v>
      </c>
      <c r="F196" s="10" t="str">
        <f aca="false">IF(MOD(A196,$B$13)=0,"是","否")</f>
        <v>否</v>
      </c>
      <c r="G196" s="10" t="n">
        <f aca="false">IF(F196="是",MAX(0,$B$14-E196),0)</f>
        <v>0</v>
      </c>
      <c r="H196" s="10" t="n">
        <f aca="false">MIN(E196,B196)</f>
        <v>11</v>
      </c>
      <c r="I196" s="10" t="n">
        <f aca="false">MAX(0,B196-E196)</f>
        <v>0</v>
      </c>
      <c r="J196" s="10" t="n">
        <f aca="false">E196-H196</f>
        <v>199</v>
      </c>
      <c r="K196" s="10" t="n">
        <f aca="false">J196*$B$10</f>
        <v>4.36164383561644</v>
      </c>
      <c r="L196" s="10" t="n">
        <f aca="false">IF(F196="是",$B$11,0)</f>
        <v>0</v>
      </c>
      <c r="M196" s="10" t="n">
        <f aca="false">I196*$B$12</f>
        <v>0</v>
      </c>
    </row>
    <row r="197" customFormat="false" ht="15" hidden="false" customHeight="false" outlineLevel="0" collapsed="false">
      <c r="A197" s="12" t="n">
        <v>84</v>
      </c>
      <c r="B197" s="10" t="n">
        <f aca="true">ROUND(MAX(0,NORMINV(RAND(),$B$5,$B$6)),0)</f>
        <v>17</v>
      </c>
      <c r="C197" s="10" t="n">
        <f aca="false">J196</f>
        <v>199</v>
      </c>
      <c r="D197" s="10" t="n">
        <f aca="false">IF(ROW()-$B$7&gt;=114,INDEX($G$114:$G$203,ROW()-$B$7-114+1),0)</f>
        <v>0</v>
      </c>
      <c r="E197" s="10" t="n">
        <f aca="false">C197+D197</f>
        <v>199</v>
      </c>
      <c r="F197" s="10" t="str">
        <f aca="false">IF(MOD(A197,$B$13)=0,"是","否")</f>
        <v>否</v>
      </c>
      <c r="G197" s="10" t="n">
        <f aca="false">IF(F197="是",MAX(0,$B$14-E197),0)</f>
        <v>0</v>
      </c>
      <c r="H197" s="10" t="n">
        <f aca="false">MIN(E197,B197)</f>
        <v>17</v>
      </c>
      <c r="I197" s="10" t="n">
        <f aca="false">MAX(0,B197-E197)</f>
        <v>0</v>
      </c>
      <c r="J197" s="10" t="n">
        <f aca="false">E197-H197</f>
        <v>182</v>
      </c>
      <c r="K197" s="10" t="n">
        <f aca="false">J197*$B$10</f>
        <v>3.98904109589041</v>
      </c>
      <c r="L197" s="10" t="n">
        <f aca="false">IF(F197="是",$B$11,0)</f>
        <v>0</v>
      </c>
      <c r="M197" s="10" t="n">
        <f aca="false">I197*$B$12</f>
        <v>0</v>
      </c>
    </row>
    <row r="198" customFormat="false" ht="15" hidden="false" customHeight="false" outlineLevel="0" collapsed="false">
      <c r="A198" s="12" t="n">
        <v>85</v>
      </c>
      <c r="B198" s="10" t="n">
        <f aca="true">ROUND(MAX(0,NORMINV(RAND(),$B$5,$B$6)),0)</f>
        <v>13</v>
      </c>
      <c r="C198" s="10" t="n">
        <f aca="false">J197</f>
        <v>182</v>
      </c>
      <c r="D198" s="10" t="n">
        <f aca="false">IF(ROW()-$B$7&gt;=114,INDEX($G$114:$G$203,ROW()-$B$7-114+1),0)</f>
        <v>0</v>
      </c>
      <c r="E198" s="10" t="n">
        <f aca="false">C198+D198</f>
        <v>182</v>
      </c>
      <c r="F198" s="10" t="str">
        <f aca="false">IF(MOD(A198,$B$13)=0,"是","否")</f>
        <v>否</v>
      </c>
      <c r="G198" s="10" t="n">
        <f aca="false">IF(F198="是",MAX(0,$B$14-E198),0)</f>
        <v>0</v>
      </c>
      <c r="H198" s="10" t="n">
        <f aca="false">MIN(E198,B198)</f>
        <v>13</v>
      </c>
      <c r="I198" s="10" t="n">
        <f aca="false">MAX(0,B198-E198)</f>
        <v>0</v>
      </c>
      <c r="J198" s="10" t="n">
        <f aca="false">E198-H198</f>
        <v>169</v>
      </c>
      <c r="K198" s="10" t="n">
        <f aca="false">J198*$B$10</f>
        <v>3.7041095890411</v>
      </c>
      <c r="L198" s="10" t="n">
        <f aca="false">IF(F198="是",$B$11,0)</f>
        <v>0</v>
      </c>
      <c r="M198" s="10" t="n">
        <f aca="false">I198*$B$12</f>
        <v>0</v>
      </c>
    </row>
    <row r="199" customFormat="false" ht="15" hidden="false" customHeight="false" outlineLevel="0" collapsed="false">
      <c r="A199" s="12" t="n">
        <v>86</v>
      </c>
      <c r="B199" s="10" t="n">
        <f aca="true">ROUND(MAX(0,NORMINV(RAND(),$B$5,$B$6)),0)</f>
        <v>17</v>
      </c>
      <c r="C199" s="10" t="n">
        <f aca="false">J198</f>
        <v>169</v>
      </c>
      <c r="D199" s="10" t="n">
        <f aca="false">IF(ROW()-$B$7&gt;=114,INDEX($G$114:$G$203,ROW()-$B$7-114+1),0)</f>
        <v>0</v>
      </c>
      <c r="E199" s="10" t="n">
        <f aca="false">C199+D199</f>
        <v>169</v>
      </c>
      <c r="F199" s="10" t="str">
        <f aca="false">IF(MOD(A199,$B$13)=0,"是","否")</f>
        <v>否</v>
      </c>
      <c r="G199" s="10" t="n">
        <f aca="false">IF(F199="是",MAX(0,$B$14-E199),0)</f>
        <v>0</v>
      </c>
      <c r="H199" s="10" t="n">
        <f aca="false">MIN(E199,B199)</f>
        <v>17</v>
      </c>
      <c r="I199" s="10" t="n">
        <f aca="false">MAX(0,B199-E199)</f>
        <v>0</v>
      </c>
      <c r="J199" s="10" t="n">
        <f aca="false">E199-H199</f>
        <v>152</v>
      </c>
      <c r="K199" s="10" t="n">
        <f aca="false">J199*$B$10</f>
        <v>3.33150684931507</v>
      </c>
      <c r="L199" s="10" t="n">
        <f aca="false">IF(F199="是",$B$11,0)</f>
        <v>0</v>
      </c>
      <c r="M199" s="10" t="n">
        <f aca="false">I199*$B$12</f>
        <v>0</v>
      </c>
    </row>
    <row r="200" customFormat="false" ht="15" hidden="false" customHeight="false" outlineLevel="0" collapsed="false">
      <c r="A200" s="12" t="n">
        <v>87</v>
      </c>
      <c r="B200" s="10" t="n">
        <f aca="true">ROUND(MAX(0,NORMINV(RAND(),$B$5,$B$6)),0)</f>
        <v>19</v>
      </c>
      <c r="C200" s="10" t="n">
        <f aca="false">J199</f>
        <v>152</v>
      </c>
      <c r="D200" s="10" t="n">
        <f aca="false">IF(ROW()-$B$7&gt;=114,INDEX($G$114:$G$203,ROW()-$B$7-114+1),0)</f>
        <v>0</v>
      </c>
      <c r="E200" s="10" t="n">
        <f aca="false">C200+D200</f>
        <v>152</v>
      </c>
      <c r="F200" s="10" t="str">
        <f aca="false">IF(MOD(A200,$B$13)=0,"是","否")</f>
        <v>否</v>
      </c>
      <c r="G200" s="10" t="n">
        <f aca="false">IF(F200="是",MAX(0,$B$14-E200),0)</f>
        <v>0</v>
      </c>
      <c r="H200" s="10" t="n">
        <f aca="false">MIN(E200,B200)</f>
        <v>19</v>
      </c>
      <c r="I200" s="10" t="n">
        <f aca="false">MAX(0,B200-E200)</f>
        <v>0</v>
      </c>
      <c r="J200" s="10" t="n">
        <f aca="false">E200-H200</f>
        <v>133</v>
      </c>
      <c r="K200" s="10" t="n">
        <f aca="false">J200*$B$10</f>
        <v>2.91506849315068</v>
      </c>
      <c r="L200" s="10" t="n">
        <f aca="false">IF(F200="是",$B$11,0)</f>
        <v>0</v>
      </c>
      <c r="M200" s="10" t="n">
        <f aca="false">I200*$B$12</f>
        <v>0</v>
      </c>
    </row>
    <row r="201" customFormat="false" ht="15" hidden="false" customHeight="false" outlineLevel="0" collapsed="false">
      <c r="A201" s="12" t="n">
        <v>88</v>
      </c>
      <c r="B201" s="10" t="n">
        <f aca="true">ROUND(MAX(0,NORMINV(RAND(),$B$5,$B$6)),0)</f>
        <v>15</v>
      </c>
      <c r="C201" s="10" t="n">
        <f aca="false">J200</f>
        <v>133</v>
      </c>
      <c r="D201" s="10" t="n">
        <f aca="false">IF(ROW()-$B$7&gt;=114,INDEX($G$114:$G$203,ROW()-$B$7-114+1),0)</f>
        <v>0</v>
      </c>
      <c r="E201" s="10" t="n">
        <f aca="false">C201+D201</f>
        <v>133</v>
      </c>
      <c r="F201" s="10" t="str">
        <f aca="false">IF(MOD(A201,$B$13)=0,"是","否")</f>
        <v>否</v>
      </c>
      <c r="G201" s="10" t="n">
        <f aca="false">IF(F201="是",MAX(0,$B$14-E201),0)</f>
        <v>0</v>
      </c>
      <c r="H201" s="10" t="n">
        <f aca="false">MIN(E201,B201)</f>
        <v>15</v>
      </c>
      <c r="I201" s="10" t="n">
        <f aca="false">MAX(0,B201-E201)</f>
        <v>0</v>
      </c>
      <c r="J201" s="10" t="n">
        <f aca="false">E201-H201</f>
        <v>118</v>
      </c>
      <c r="K201" s="10" t="n">
        <f aca="false">J201*$B$10</f>
        <v>2.58630136986301</v>
      </c>
      <c r="L201" s="10" t="n">
        <f aca="false">IF(F201="是",$B$11,0)</f>
        <v>0</v>
      </c>
      <c r="M201" s="10" t="n">
        <f aca="false">I201*$B$12</f>
        <v>0</v>
      </c>
    </row>
    <row r="202" customFormat="false" ht="15" hidden="false" customHeight="false" outlineLevel="0" collapsed="false">
      <c r="A202" s="12" t="n">
        <v>89</v>
      </c>
      <c r="B202" s="10" t="n">
        <f aca="true">ROUND(MAX(0,NORMINV(RAND(),$B$5,$B$6)),0)</f>
        <v>16</v>
      </c>
      <c r="C202" s="10" t="n">
        <f aca="false">J201</f>
        <v>118</v>
      </c>
      <c r="D202" s="10" t="n">
        <f aca="false">IF(ROW()-$B$7&gt;=114,INDEX($G$114:$G$203,ROW()-$B$7-114+1),0)</f>
        <v>0</v>
      </c>
      <c r="E202" s="10" t="n">
        <f aca="false">C202+D202</f>
        <v>118</v>
      </c>
      <c r="F202" s="10" t="str">
        <f aca="false">IF(MOD(A202,$B$13)=0,"是","否")</f>
        <v>否</v>
      </c>
      <c r="G202" s="10" t="n">
        <f aca="false">IF(F202="是",MAX(0,$B$14-E202),0)</f>
        <v>0</v>
      </c>
      <c r="H202" s="10" t="n">
        <f aca="false">MIN(E202,B202)</f>
        <v>16</v>
      </c>
      <c r="I202" s="10" t="n">
        <f aca="false">MAX(0,B202-E202)</f>
        <v>0</v>
      </c>
      <c r="J202" s="10" t="n">
        <f aca="false">E202-H202</f>
        <v>102</v>
      </c>
      <c r="K202" s="10" t="n">
        <f aca="false">J202*$B$10</f>
        <v>2.23561643835616</v>
      </c>
      <c r="L202" s="10" t="n">
        <f aca="false">IF(F202="是",$B$11,0)</f>
        <v>0</v>
      </c>
      <c r="M202" s="10" t="n">
        <f aca="false">I202*$B$12</f>
        <v>0</v>
      </c>
    </row>
    <row r="203" customFormat="false" ht="15" hidden="false" customHeight="false" outlineLevel="0" collapsed="false">
      <c r="A203" s="12" t="n">
        <v>90</v>
      </c>
      <c r="B203" s="10" t="n">
        <f aca="true">ROUND(MAX(0,NORMINV(RAND(),$B$5,$B$6)),0)</f>
        <v>15</v>
      </c>
      <c r="C203" s="10" t="n">
        <f aca="false">J202</f>
        <v>102</v>
      </c>
      <c r="D203" s="10" t="n">
        <f aca="false">IF(ROW()-$B$7&gt;=114,INDEX($G$114:$G$203,ROW()-$B$7-114+1),0)</f>
        <v>0</v>
      </c>
      <c r="E203" s="10" t="n">
        <f aca="false">C203+D203</f>
        <v>102</v>
      </c>
      <c r="F203" s="10" t="str">
        <f aca="false">IF(MOD(A203,$B$13)=0,"是","否")</f>
        <v>是</v>
      </c>
      <c r="G203" s="10" t="n">
        <f aca="false">IF(F203="是",MAX(0,$B$14-E203),0)</f>
        <v>478</v>
      </c>
      <c r="H203" s="10" t="n">
        <f aca="false">MIN(E203,B203)</f>
        <v>15</v>
      </c>
      <c r="I203" s="10" t="n">
        <f aca="false">MAX(0,B203-E203)</f>
        <v>0</v>
      </c>
      <c r="J203" s="10" t="n">
        <f aca="false">E203-H203</f>
        <v>87</v>
      </c>
      <c r="K203" s="10" t="n">
        <f aca="false">J203*$B$10</f>
        <v>1.90684931506849</v>
      </c>
      <c r="L203" s="10" t="n">
        <f aca="false">IF(F203="是",$B$11,0)</f>
        <v>150</v>
      </c>
      <c r="M203" s="10" t="n">
        <f aca="false">I203*$B$12</f>
        <v>0</v>
      </c>
    </row>
    <row r="205" customFormat="false" ht="17.15" hidden="false" customHeight="false" outlineLevel="0" collapsed="false">
      <c r="A205" s="9" t="s">
        <v>91</v>
      </c>
      <c r="B205" s="10" t="n">
        <f aca="false">SUM(K114:M203)</f>
        <v>992.465753424658</v>
      </c>
    </row>
    <row r="207" customFormat="false" ht="15" hidden="false" customHeight="false" outlineLevel="0" collapsed="false">
      <c r="A207" s="7" t="s">
        <v>92</v>
      </c>
    </row>
    <row r="208" customFormat="false" ht="17.15" hidden="false" customHeight="false" outlineLevel="0" collapsed="false">
      <c r="A208" s="0" t="s">
        <v>93</v>
      </c>
      <c r="B208" s="10" t="n">
        <f aca="false">B110</f>
        <v>3535.13424657534</v>
      </c>
    </row>
    <row r="209" customFormat="false" ht="17.15" hidden="false" customHeight="false" outlineLevel="0" collapsed="false">
      <c r="A209" s="0" t="s">
        <v>94</v>
      </c>
      <c r="B209" s="10" t="n">
        <f aca="false">B205</f>
        <v>992.465753424658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</cols>
  <sheetData>
    <row r="1" customFormat="false" ht="21.6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4" customFormat="false" ht="17.15" hidden="false" customHeight="false" outlineLevel="0" collapsed="false">
      <c r="A4" s="7" t="s">
        <v>35</v>
      </c>
      <c r="B4" s="8" t="n">
        <v>3600</v>
      </c>
    </row>
    <row r="5" customFormat="false" ht="17.15" hidden="false" customHeight="false" outlineLevel="0" collapsed="false">
      <c r="A5" s="7" t="s">
        <v>37</v>
      </c>
      <c r="B5" s="8" t="n">
        <v>100</v>
      </c>
    </row>
    <row r="6" customFormat="false" ht="17.15" hidden="false" customHeight="false" outlineLevel="0" collapsed="false">
      <c r="A6" s="7" t="s">
        <v>97</v>
      </c>
      <c r="B6" s="8" t="n">
        <v>5</v>
      </c>
    </row>
    <row r="8" customFormat="false" ht="15" hidden="false" customHeight="false" outlineLevel="0" collapsed="false">
      <c r="A8" s="7" t="s">
        <v>66</v>
      </c>
      <c r="B8" s="8" t="n">
        <v>10</v>
      </c>
    </row>
    <row r="9" customFormat="false" ht="15" hidden="false" customHeight="false" outlineLevel="0" collapsed="false">
      <c r="A9" s="7" t="s">
        <v>67</v>
      </c>
      <c r="B9" s="8" t="n">
        <v>3</v>
      </c>
    </row>
    <row r="10" customFormat="false" ht="17.15" hidden="false" customHeight="false" outlineLevel="0" collapsed="false">
      <c r="A10" s="7" t="s">
        <v>98</v>
      </c>
      <c r="B10" s="8" t="n">
        <v>4</v>
      </c>
    </row>
    <row r="11" customFormat="false" ht="15" hidden="false" customHeight="false" outlineLevel="0" collapsed="false">
      <c r="A11" s="7" t="s">
        <v>53</v>
      </c>
      <c r="B11" s="8" t="n">
        <v>0.95</v>
      </c>
    </row>
    <row r="14" customFormat="false" ht="15" hidden="false" customHeight="false" outlineLevel="0" collapsed="false">
      <c r="A14" s="9" t="s">
        <v>23</v>
      </c>
      <c r="B14" s="10" t="n">
        <f aca="false">SQRT(2*B4*B5/B6)</f>
        <v>379.473319220206</v>
      </c>
    </row>
    <row r="16" customFormat="false" ht="17.15" hidden="false" customHeight="false" outlineLevel="0" collapsed="false">
      <c r="A16" s="9" t="s">
        <v>54</v>
      </c>
      <c r="B16" s="10" t="n">
        <f aca="false">NORMSINV(B11)</f>
        <v>1.64485362695147</v>
      </c>
    </row>
    <row r="17" customFormat="false" ht="15" hidden="false" customHeight="false" outlineLevel="0" collapsed="false">
      <c r="A17" s="9" t="s">
        <v>99</v>
      </c>
      <c r="B17" s="10" t="n">
        <f aca="false">B9*SQRT(B10)</f>
        <v>6</v>
      </c>
    </row>
    <row r="18" customFormat="false" ht="17.15" hidden="false" customHeight="false" outlineLevel="0" collapsed="false">
      <c r="A18" s="7" t="s">
        <v>56</v>
      </c>
      <c r="B18" s="10" t="n">
        <f aca="false">B16*B17</f>
        <v>9.86912176170883</v>
      </c>
    </row>
    <row r="19" customFormat="false" ht="17.15" hidden="false" customHeight="false" outlineLevel="0" collapsed="false">
      <c r="A19" s="7" t="s">
        <v>57</v>
      </c>
      <c r="B19" s="10" t="n">
        <f aca="false">B8*B10+B18</f>
        <v>49.8691217617088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7" min="6" style="0" width="12"/>
    <col collapsed="false" customWidth="true" hidden="false" outlineLevel="0" max="9" min="8" style="0" width="10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100</v>
      </c>
      <c r="F1" s="7" t="s">
        <v>35</v>
      </c>
      <c r="G1" s="8" t="n">
        <v>6000</v>
      </c>
    </row>
    <row r="2" customFormat="false" ht="17.15" hidden="false" customHeight="false" outlineLevel="0" collapsed="false">
      <c r="A2" s="2" t="s">
        <v>101</v>
      </c>
      <c r="F2" s="7" t="s">
        <v>37</v>
      </c>
      <c r="G2" s="8" t="n">
        <v>120</v>
      </c>
    </row>
    <row r="3" customFormat="false" ht="17.15" hidden="false" customHeight="false" outlineLevel="0" collapsed="false">
      <c r="F3" s="7" t="s">
        <v>38</v>
      </c>
      <c r="G3" s="8" t="n">
        <v>0.25</v>
      </c>
    </row>
    <row r="4" customFormat="false" ht="29.85" hidden="false" customHeight="false" outlineLevel="0" collapsed="false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32</v>
      </c>
      <c r="I4" s="3" t="s">
        <v>33</v>
      </c>
      <c r="J4" s="3" t="s">
        <v>28</v>
      </c>
    </row>
    <row r="5" customFormat="false" ht="15" hidden="false" customHeight="false" outlineLevel="0" collapsed="false">
      <c r="A5" s="8" t="n">
        <v>1</v>
      </c>
      <c r="B5" s="8" t="n">
        <v>299</v>
      </c>
      <c r="C5" s="8" t="n">
        <v>25</v>
      </c>
      <c r="D5" s="10" t="n">
        <f aca="false">$G$3*C5</f>
        <v>6.25</v>
      </c>
      <c r="E5" s="10" t="n">
        <f aca="false">SQRT(2*$G$1*$G$2/D5)</f>
        <v>480</v>
      </c>
      <c r="F5" s="10" t="n">
        <f aca="false">MEDIAN(A5,E5,B5)</f>
        <v>299</v>
      </c>
      <c r="G5" s="10" t="n">
        <f aca="false">$G$1*C5</f>
        <v>150000</v>
      </c>
      <c r="H5" s="10" t="n">
        <f aca="false">($G$1/F5)*$G$2</f>
        <v>2408.02675585284</v>
      </c>
      <c r="I5" s="10" t="n">
        <f aca="false">(F5/2)*D5</f>
        <v>934.375</v>
      </c>
      <c r="J5" s="10" t="n">
        <f aca="false">G5+H5+I5</f>
        <v>153342.401755853</v>
      </c>
    </row>
    <row r="6" customFormat="false" ht="15" hidden="false" customHeight="false" outlineLevel="0" collapsed="false">
      <c r="A6" s="8" t="n">
        <v>300</v>
      </c>
      <c r="B6" s="8" t="n">
        <v>799</v>
      </c>
      <c r="C6" s="8" t="n">
        <v>23.5</v>
      </c>
      <c r="D6" s="10" t="n">
        <f aca="false">$G$3*C6</f>
        <v>5.875</v>
      </c>
      <c r="E6" s="10" t="n">
        <f aca="false">SQRT(2*$G$1*$G$2/D6)</f>
        <v>495.082198204221</v>
      </c>
      <c r="F6" s="10" t="n">
        <f aca="false">MEDIAN(A6,E6,B6)</f>
        <v>495.082198204221</v>
      </c>
      <c r="G6" s="10" t="n">
        <f aca="false">$G$1*C6</f>
        <v>141000</v>
      </c>
      <c r="H6" s="10" t="n">
        <f aca="false">($G$1/F6)*$G$2</f>
        <v>1454.3039572249</v>
      </c>
      <c r="I6" s="10" t="n">
        <f aca="false">(F6/2)*D6</f>
        <v>1454.3039572249</v>
      </c>
      <c r="J6" s="10" t="n">
        <f aca="false">G6+H6+I6</f>
        <v>143908.60791445</v>
      </c>
    </row>
    <row r="7" customFormat="false" ht="15" hidden="false" customHeight="false" outlineLevel="0" collapsed="false">
      <c r="A7" s="8" t="n">
        <v>800</v>
      </c>
      <c r="B7" s="8" t="n">
        <v>999999</v>
      </c>
      <c r="C7" s="8" t="n">
        <v>22</v>
      </c>
      <c r="D7" s="10" t="n">
        <f aca="false">$G$3*C7</f>
        <v>5.5</v>
      </c>
      <c r="E7" s="10" t="n">
        <f aca="false">SQRT(2*$G$1*$G$2/D7)</f>
        <v>511.681719253465</v>
      </c>
      <c r="F7" s="10" t="n">
        <f aca="false">MEDIAN(A7,E7,B7)</f>
        <v>800</v>
      </c>
      <c r="G7" s="10" t="n">
        <f aca="false">$G$1*C7</f>
        <v>132000</v>
      </c>
      <c r="H7" s="10" t="n">
        <f aca="false">($G$1/F7)*$G$2</f>
        <v>900</v>
      </c>
      <c r="I7" s="10" t="n">
        <f aca="false">(F7/2)*D7</f>
        <v>2200</v>
      </c>
      <c r="J7" s="10" t="n">
        <f aca="false">G7+H7+I7</f>
        <v>135100</v>
      </c>
    </row>
    <row r="9" customFormat="false" ht="15" hidden="false" customHeight="false" outlineLevel="0" collapsed="false">
      <c r="A9" s="7" t="s">
        <v>46</v>
      </c>
      <c r="B9" s="10" t="n">
        <f aca="false">INDEX(C5:C7,MATCH(MIN(J5:J7),J5:J7,0))</f>
        <v>22</v>
      </c>
    </row>
    <row r="10" customFormat="false" ht="15" hidden="false" customHeight="false" outlineLevel="0" collapsed="false">
      <c r="A10" s="7" t="s">
        <v>47</v>
      </c>
      <c r="B10" s="10" t="n">
        <f aca="false">INDEX(F5:F7,MATCH(MIN(J5:J7),J5:J7,0))</f>
        <v>800</v>
      </c>
    </row>
    <row r="11" customFormat="false" ht="15" hidden="false" customHeight="false" outlineLevel="0" collapsed="false">
      <c r="A11" s="7" t="s">
        <v>48</v>
      </c>
      <c r="B11" s="10" t="n">
        <f aca="false">MIN(J5:J7)</f>
        <v>135100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2026-09-15T09:43:32Z</dcterms:created>
  <dc:creator>openpyxl</dc:creator>
  <dc:description/>
  <dc:language>en-US</dc:language>
  <cp:lastModifiedBy/>
  <dcterms:modified xsi:type="dcterms:W3CDTF">2026-09-15T09:43:38Z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