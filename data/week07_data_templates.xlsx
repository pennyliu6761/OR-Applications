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資料彙整" sheetId="1" state="visible" r:id="rId3"/>
    <sheet name="01_CPM網路計算_無人機研發" sheetId="2" state="visible" r:id="rId4"/>
    <sheet name="02_PERT完工機率計算機" sheetId="3" state="visible" r:id="rId5"/>
    <sheet name="03_時程壓縮分析" sheetId="4" state="visible" r:id="rId6"/>
    <sheet name="04_練習1_演訓籌備CPM" sheetId="5" state="visible" r:id="rId7"/>
    <sheet name="05_練習2_時程壓縮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<sst xmlns="http://schemas.openxmlformats.org/spreadsheetml/2006/main" count="152" uniqueCount="71">
  <si>
    <r>
      <rPr>
        <b val="true"/>
        <sz val="14"/>
        <rFont val="Noto Sans CJK SC"/>
        <family val="2"/>
      </rPr>
      <t xml:space="preserve">第</t>
    </r>
    <r>
      <rPr>
        <b val="true"/>
        <sz val="14"/>
        <rFont val="Arial"/>
        <family val="0"/>
        <charset val="1"/>
      </rPr>
      <t xml:space="preserve">7</t>
    </r>
    <r>
      <rPr>
        <b val="true"/>
        <sz val="14"/>
        <rFont val="Noto Sans CJK SC"/>
        <family val="2"/>
      </rPr>
      <t xml:space="preserve">週 </t>
    </r>
    <r>
      <rPr>
        <b val="true"/>
        <sz val="14"/>
        <rFont val="Arial"/>
        <family val="0"/>
        <charset val="1"/>
      </rPr>
      <t xml:space="preserve">CPM/PERT — </t>
    </r>
    <r>
      <rPr>
        <b val="true"/>
        <sz val="14"/>
        <rFont val="Noto Sans CJK SC"/>
        <family val="2"/>
      </rPr>
      <t xml:space="preserve">本週模擬資料集彙整</t>
    </r>
  </si>
  <si>
    <t xml:space="preserve">以下為本週講義中所有模擬資料集，供學員自行複製至其他工作表練習使用。</t>
  </si>
  <si>
    <t xml:space="preserve">資料集名稱</t>
  </si>
  <si>
    <t xml:space="preserve">用途</t>
  </si>
  <si>
    <t xml:space="preserve">摘要</t>
  </si>
  <si>
    <r>
      <rPr>
        <sz val="11"/>
        <color theme="1"/>
        <rFont val="Noto Sans CJK SC"/>
        <family val="2"/>
      </rPr>
      <t xml:space="preserve">無人機研發專案</t>
    </r>
    <r>
      <rPr>
        <sz val="11"/>
        <color theme="1"/>
        <rFont val="Calibri"/>
        <family val="2"/>
        <charset val="1"/>
      </rPr>
      <t xml:space="preserve">(9</t>
    </r>
    <r>
      <rPr>
        <sz val="11"/>
        <color theme="1"/>
        <rFont val="Noto Sans CJK SC"/>
        <family val="2"/>
      </rPr>
      <t xml:space="preserve">項作業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</si>
  <si>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CPM/PERT/</t>
    </r>
    <r>
      <rPr>
        <sz val="11"/>
        <color theme="1"/>
        <rFont val="Noto Sans CJK SC"/>
        <family val="2"/>
      </rPr>
      <t xml:space="preserve">時程壓縮主範例</t>
    </r>
  </si>
  <si>
    <t xml:space="preserve">A(5,-) B(8,A) C(6,A) D(10,B) E(12,B) F(4,C) G(7,DEF) H(6,G) I(3,H)</t>
  </si>
  <si>
    <r>
      <rPr>
        <sz val="11"/>
        <color theme="1"/>
        <rFont val="Noto Sans CJK SC"/>
        <family val="2"/>
      </rPr>
      <t xml:space="preserve">演訓籌備專案</t>
    </r>
    <r>
      <rPr>
        <sz val="11"/>
        <color theme="1"/>
        <rFont val="Calibri"/>
        <family val="2"/>
        <charset val="1"/>
      </rPr>
      <t xml:space="preserve">(7</t>
    </r>
    <r>
      <rPr>
        <sz val="11"/>
        <color theme="1"/>
        <rFont val="Noto Sans CJK SC"/>
        <family val="2"/>
      </rPr>
      <t xml:space="preserve">項作業</t>
    </r>
    <r>
      <rPr>
        <sz val="11"/>
        <color theme="1"/>
        <rFont val="Calibri"/>
        <family val="2"/>
        <charset val="1"/>
      </rPr>
      <t xml:space="preserve">)</t>
    </r>
  </si>
  <si>
    <t xml:space="preserve">延伸練習一</t>
  </si>
  <si>
    <t xml:space="preserve">A(4,-) B(6,A) C(3,A) D(5,B) E(7,C) F(4,DE) G(2,F)</t>
  </si>
  <si>
    <r>
      <rPr>
        <sz val="11"/>
        <color theme="1"/>
        <rFont val="Noto Sans CJK SC"/>
        <family val="2"/>
      </rPr>
      <t xml:space="preserve">小型專案</t>
    </r>
    <r>
      <rPr>
        <sz val="11"/>
        <color theme="1"/>
        <rFont val="Calibri"/>
        <family val="2"/>
        <charset val="1"/>
      </rPr>
      <t xml:space="preserve">(5</t>
    </r>
    <r>
      <rPr>
        <sz val="11"/>
        <color theme="1"/>
        <rFont val="Noto Sans CJK SC"/>
        <family val="2"/>
      </rPr>
      <t xml:space="preserve">項作業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</si>
  <si>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延伸練習二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時程壓縮</t>
    </r>
    <r>
      <rPr>
        <sz val="11"/>
        <color theme="1"/>
        <rFont val="Calibri"/>
        <family val="2"/>
        <charset val="1"/>
      </rPr>
      <t xml:space="preserve">)</t>
    </r>
  </si>
  <si>
    <t xml:space="preserve">A(3,-) B(5,A) C(4,A) D(6,BC) E(3,D)</t>
  </si>
  <si>
    <r>
      <rPr>
        <b val="true"/>
        <sz val="14"/>
        <rFont val="Noto Sans CJK SC"/>
        <family val="2"/>
      </rPr>
      <t xml:space="preserve">示範一：</t>
    </r>
    <r>
      <rPr>
        <b val="true"/>
        <sz val="14"/>
        <rFont val="Arial"/>
        <family val="0"/>
        <charset val="1"/>
      </rPr>
      <t xml:space="preserve">CPM </t>
    </r>
    <r>
      <rPr>
        <b val="true"/>
        <sz val="14"/>
        <rFont val="Noto Sans CJK SC"/>
        <family val="2"/>
      </rPr>
      <t xml:space="preserve">網路自動計算表（無人機研發專案）</t>
    </r>
  </si>
  <si>
    <r>
      <rPr>
        <i val="true"/>
        <sz val="9"/>
        <color rgb="FF666666"/>
        <rFont val="Noto Sans CJK SC"/>
        <family val="2"/>
      </rPr>
      <t xml:space="preserve">說明：</t>
    </r>
    <r>
      <rPr>
        <i val="true"/>
        <sz val="9"/>
        <color rgb="FF666666"/>
        <rFont val="Arial"/>
        <family val="0"/>
        <charset val="1"/>
      </rPr>
      <t xml:space="preserve">D:E</t>
    </r>
    <r>
      <rPr>
        <i val="true"/>
        <sz val="9"/>
        <color rgb="FF666666"/>
        <rFont val="Noto Sans CJK SC"/>
        <family val="2"/>
      </rPr>
      <t xml:space="preserve">欄為正推法</t>
    </r>
    <r>
      <rPr>
        <i val="true"/>
        <sz val="9"/>
        <color rgb="FF666666"/>
        <rFont val="Arial"/>
        <family val="0"/>
        <charset val="1"/>
      </rPr>
      <t xml:space="preserve">(ES/EF)</t>
    </r>
    <r>
      <rPr>
        <i val="true"/>
        <sz val="9"/>
        <color rgb="FF666666"/>
        <rFont val="Noto Sans CJK SC"/>
        <family val="2"/>
      </rPr>
      <t xml:space="preserve">；</t>
    </r>
    <r>
      <rPr>
        <i val="true"/>
        <sz val="9"/>
        <color rgb="FF666666"/>
        <rFont val="Arial"/>
        <family val="0"/>
        <charset val="1"/>
      </rPr>
      <t xml:space="preserve">F:G</t>
    </r>
    <r>
      <rPr>
        <i val="true"/>
        <sz val="9"/>
        <color rgb="FF666666"/>
        <rFont val="Noto Sans CJK SC"/>
        <family val="2"/>
      </rPr>
      <t xml:space="preserve">欄為反推法</t>
    </r>
    <r>
      <rPr>
        <i val="true"/>
        <sz val="9"/>
        <color rgb="FF666666"/>
        <rFont val="Arial"/>
        <family val="0"/>
        <charset val="1"/>
      </rPr>
      <t xml:space="preserve">(LF/LS)</t>
    </r>
    <r>
      <rPr>
        <i val="true"/>
        <sz val="9"/>
        <color rgb="FF666666"/>
        <rFont val="Noto Sans CJK SC"/>
        <family val="2"/>
      </rPr>
      <t xml:space="preserve">；</t>
    </r>
    <r>
      <rPr>
        <i val="true"/>
        <sz val="9"/>
        <color rgb="FF666666"/>
        <rFont val="Arial"/>
        <family val="0"/>
        <charset val="1"/>
      </rPr>
      <t xml:space="preserve">H</t>
    </r>
    <r>
      <rPr>
        <i val="true"/>
        <sz val="9"/>
        <color rgb="FF666666"/>
        <rFont val="Noto Sans CJK SC"/>
        <family val="2"/>
      </rPr>
      <t xml:space="preserve">欄浮時；</t>
    </r>
    <r>
      <rPr>
        <i val="true"/>
        <sz val="9"/>
        <color rgb="FF666666"/>
        <rFont val="Arial"/>
        <family val="0"/>
        <charset val="1"/>
      </rPr>
      <t xml:space="preserve">I</t>
    </r>
    <r>
      <rPr>
        <i val="true"/>
        <sz val="9"/>
        <color rgb="FF666666"/>
        <rFont val="Noto Sans CJK SC"/>
        <family val="2"/>
      </rPr>
      <t xml:space="preserve">欄自動標示關鍵作業。</t>
    </r>
  </si>
  <si>
    <t xml:space="preserve">作業</t>
  </si>
  <si>
    <r>
      <rPr>
        <b val="true"/>
        <sz val="11"/>
        <color rgb="FFFFFFFF"/>
        <rFont val="Noto Sans CJK SC"/>
        <family val="2"/>
      </rPr>
      <t xml:space="preserve">作業時間</t>
    </r>
    <r>
      <rPr>
        <b val="true"/>
        <sz val="11"/>
        <color rgb="FFFFFFFF"/>
        <rFont val="Arial"/>
        <family val="0"/>
        <charset val="1"/>
      </rPr>
      <t xml:space="preserve">t</t>
    </r>
  </si>
  <si>
    <t xml:space="preserve">直接前置作業</t>
  </si>
  <si>
    <t xml:space="preserve">ES</t>
  </si>
  <si>
    <t xml:space="preserve">EF</t>
  </si>
  <si>
    <t xml:space="preserve">LF</t>
  </si>
  <si>
    <t xml:space="preserve">LS</t>
  </si>
  <si>
    <r>
      <rPr>
        <b val="true"/>
        <sz val="11"/>
        <color rgb="FFFFFFFF"/>
        <rFont val="Noto Sans CJK SC"/>
        <family val="2"/>
      </rPr>
      <t xml:space="preserve">浮時</t>
    </r>
    <r>
      <rPr>
        <b val="true"/>
        <sz val="11"/>
        <color rgb="FFFFFFFF"/>
        <rFont val="Arial"/>
        <family val="0"/>
        <charset val="1"/>
      </rPr>
      <t xml:space="preserve">Slack</t>
    </r>
  </si>
  <si>
    <t xml:space="preserve">關鍵路徑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</si>
  <si>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</si>
  <si>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</si>
  <si>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</si>
  <si>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</si>
  <si>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</si>
  <si>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</si>
  <si>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</si>
  <si>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D,E,F</t>
  </si>
  <si>
    <t xml:space="preserve">H</t>
  </si>
  <si>
    <t xml:space="preserve">I</t>
  </si>
  <si>
    <t xml:space="preserve">專案總工期</t>
  </si>
  <si>
    <r>
      <rPr>
        <b val="true"/>
        <sz val="14"/>
        <rFont val="Noto Sans CJK SC"/>
        <family val="2"/>
      </rPr>
      <t xml:space="preserve">示範二：</t>
    </r>
    <r>
      <rPr>
        <b val="true"/>
        <sz val="14"/>
        <rFont val="Arial"/>
        <family val="0"/>
        <charset val="1"/>
      </rPr>
      <t xml:space="preserve">PERT </t>
    </r>
    <r>
      <rPr>
        <b val="true"/>
        <sz val="14"/>
        <rFont val="Noto Sans CJK SC"/>
        <family val="2"/>
      </rPr>
      <t xml:space="preserve">完工機率計算機（無人機研發專案）</t>
    </r>
  </si>
  <si>
    <r>
      <rPr>
        <i val="true"/>
        <sz val="9"/>
        <color rgb="FF666666"/>
        <rFont val="Noto Sans CJK SC"/>
        <family val="2"/>
      </rPr>
      <t xml:space="preserve">說明：</t>
    </r>
    <r>
      <rPr>
        <i val="true"/>
        <sz val="9"/>
        <color rgb="FF666666"/>
        <rFont val="Arial"/>
        <family val="0"/>
        <charset val="1"/>
      </rPr>
      <t xml:space="preserve">J:L</t>
    </r>
    <r>
      <rPr>
        <i val="true"/>
        <sz val="9"/>
        <color rgb="FF666666"/>
        <rFont val="Noto Sans CJK SC"/>
        <family val="2"/>
      </rPr>
      <t xml:space="preserve">欄為三點估計，</t>
    </r>
    <r>
      <rPr>
        <i val="true"/>
        <sz val="9"/>
        <color rgb="FF666666"/>
        <rFont val="Arial"/>
        <family val="0"/>
        <charset val="1"/>
      </rPr>
      <t xml:space="preserve">M/N</t>
    </r>
    <r>
      <rPr>
        <i val="true"/>
        <sz val="9"/>
        <color rgb="FF666666"/>
        <rFont val="Noto Sans CJK SC"/>
        <family val="2"/>
      </rPr>
      <t xml:space="preserve">欄自動計算期望時間與變異數；以</t>
    </r>
    <r>
      <rPr>
        <i val="true"/>
        <sz val="9"/>
        <color rgb="FF666666"/>
        <rFont val="Arial"/>
        <family val="0"/>
        <charset val="1"/>
      </rPr>
      <t xml:space="preserve">M</t>
    </r>
    <r>
      <rPr>
        <i val="true"/>
        <sz val="9"/>
        <color rgb="FF666666"/>
        <rFont val="Noto Sans CJK SC"/>
        <family val="2"/>
      </rPr>
      <t xml:space="preserve">欄重新執行</t>
    </r>
    <r>
      <rPr>
        <i val="true"/>
        <sz val="9"/>
        <color rgb="FF666666"/>
        <rFont val="Arial"/>
        <family val="0"/>
        <charset val="1"/>
      </rPr>
      <t xml:space="preserve">CPM</t>
    </r>
    <r>
      <rPr>
        <i val="true"/>
        <sz val="9"/>
        <color rgb="FF666666"/>
        <rFont val="Noto Sans CJK SC"/>
        <family val="2"/>
      </rPr>
      <t xml:space="preserve">後計算完工機率。</t>
    </r>
  </si>
  <si>
    <r>
      <rPr>
        <b val="true"/>
        <sz val="11"/>
        <color rgb="FFFFFFFF"/>
        <rFont val="Noto Sans CJK SC"/>
        <family val="2"/>
      </rPr>
      <t xml:space="preserve">樂觀</t>
    </r>
    <r>
      <rPr>
        <b val="true"/>
        <sz val="11"/>
        <color rgb="FFFFFFFF"/>
        <rFont val="Arial"/>
        <family val="0"/>
        <charset val="1"/>
      </rPr>
      <t xml:space="preserve">a</t>
    </r>
  </si>
  <si>
    <r>
      <rPr>
        <b val="true"/>
        <sz val="11"/>
        <color rgb="FFFFFFFF"/>
        <rFont val="Noto Sans CJK SC"/>
        <family val="2"/>
      </rPr>
      <t xml:space="preserve">最可能</t>
    </r>
    <r>
      <rPr>
        <b val="true"/>
        <sz val="11"/>
        <color rgb="FFFFFFFF"/>
        <rFont val="Arial"/>
        <family val="0"/>
        <charset val="1"/>
      </rPr>
      <t xml:space="preserve">m</t>
    </r>
  </si>
  <si>
    <r>
      <rPr>
        <b val="true"/>
        <sz val="11"/>
        <color rgb="FFFFFFFF"/>
        <rFont val="Noto Sans CJK SC"/>
        <family val="2"/>
      </rPr>
      <t xml:space="preserve">悲觀</t>
    </r>
    <r>
      <rPr>
        <b val="true"/>
        <sz val="11"/>
        <color rgb="FFFFFFFF"/>
        <rFont val="Arial"/>
        <family val="0"/>
        <charset val="1"/>
      </rPr>
      <t xml:space="preserve">b</t>
    </r>
  </si>
  <si>
    <r>
      <rPr>
        <b val="true"/>
        <sz val="11"/>
        <color rgb="FFFFFFFF"/>
        <rFont val="Noto Sans CJK SC"/>
        <family val="2"/>
      </rPr>
      <t xml:space="preserve">期望時間</t>
    </r>
    <r>
      <rPr>
        <b val="true"/>
        <sz val="11"/>
        <color rgb="FFFFFFFF"/>
        <rFont val="Arial"/>
        <family val="0"/>
        <charset val="1"/>
      </rPr>
      <t xml:space="preserve">te</t>
    </r>
  </si>
  <si>
    <r>
      <rPr>
        <b val="true"/>
        <sz val="11"/>
        <color rgb="FFFFFFFF"/>
        <rFont val="Noto Sans CJK SC"/>
        <family val="2"/>
      </rPr>
      <t xml:space="preserve">變異數</t>
    </r>
    <r>
      <rPr>
        <b val="true"/>
        <sz val="11"/>
        <color rgb="FFFFFFFF"/>
        <rFont val="Arial"/>
        <family val="0"/>
        <charset val="1"/>
      </rPr>
      <t xml:space="preserve">var</t>
    </r>
  </si>
  <si>
    <t xml:space="preserve">浮時</t>
  </si>
  <si>
    <t xml:space="preserve">期望工期</t>
  </si>
  <si>
    <t xml:space="preserve">關鍵路徑變異數加總</t>
  </si>
  <si>
    <t xml:space="preserve">標準差</t>
  </si>
  <si>
    <r>
      <rPr>
        <b val="true"/>
        <sz val="11"/>
        <color rgb="FF000000"/>
        <rFont val="Noto Sans CJK SC"/>
        <family val="2"/>
      </rPr>
      <t xml:space="preserve">敏感度分析：目標日期 </t>
    </r>
    <r>
      <rPr>
        <b val="true"/>
        <sz val="11"/>
        <color rgb="FF000000"/>
        <rFont val="Arial"/>
        <family val="0"/>
        <charset val="1"/>
      </rPr>
      <t xml:space="preserve">vs </t>
    </r>
    <r>
      <rPr>
        <b val="true"/>
        <sz val="11"/>
        <color rgb="FF000000"/>
        <rFont val="Noto Sans CJK SC"/>
        <family val="2"/>
      </rPr>
      <t xml:space="preserve">完工機率</t>
    </r>
  </si>
  <si>
    <t xml:space="preserve">目標日期</t>
  </si>
  <si>
    <r>
      <rPr>
        <b val="true"/>
        <sz val="11"/>
        <color rgb="FFFFFFFF"/>
        <rFont val="Arial"/>
        <family val="0"/>
        <charset val="1"/>
      </rPr>
      <t xml:space="preserve">Z</t>
    </r>
    <r>
      <rPr>
        <b val="true"/>
        <sz val="11"/>
        <color rgb="FFFFFFFF"/>
        <rFont val="Noto Sans CJK SC"/>
        <family val="2"/>
      </rPr>
      <t xml:space="preserve">值</t>
    </r>
  </si>
  <si>
    <t xml:space="preserve">完工機率</t>
  </si>
  <si>
    <r>
      <rPr>
        <b val="true"/>
        <sz val="14"/>
        <rFont val="Noto Sans CJK SC"/>
        <family val="2"/>
      </rPr>
      <t xml:space="preserve">示範三：時程壓縮分析表（無人機研發專案，目標壓縮</t>
    </r>
    <r>
      <rPr>
        <b val="true"/>
        <sz val="14"/>
        <rFont val="Arial"/>
        <family val="0"/>
        <charset val="1"/>
      </rPr>
      <t xml:space="preserve">5</t>
    </r>
    <r>
      <rPr>
        <b val="true"/>
        <sz val="14"/>
        <rFont val="Noto Sans CJK SC"/>
        <family val="2"/>
      </rPr>
      <t xml:space="preserve">天）</t>
    </r>
  </si>
  <si>
    <r>
      <rPr>
        <i val="true"/>
        <sz val="9"/>
        <color rgb="FF666666"/>
        <rFont val="Noto Sans CJK SC"/>
        <family val="2"/>
      </rPr>
      <t xml:space="preserve">說明：</t>
    </r>
    <r>
      <rPr>
        <i val="true"/>
        <sz val="9"/>
        <color rgb="FF666666"/>
        <rFont val="Arial"/>
        <family val="0"/>
        <charset val="1"/>
      </rPr>
      <t xml:space="preserve">H</t>
    </r>
    <r>
      <rPr>
        <i val="true"/>
        <sz val="9"/>
        <color rgb="FF666666"/>
        <rFont val="Noto Sans CJK SC"/>
        <family val="2"/>
      </rPr>
      <t xml:space="preserve">欄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已壓縮天數</t>
    </r>
    <r>
      <rPr>
        <i val="true"/>
        <sz val="9"/>
        <color rgb="FF666666"/>
        <rFont val="Arial"/>
        <family val="0"/>
        <charset val="1"/>
      </rPr>
      <t xml:space="preserve">)</t>
    </r>
    <r>
      <rPr>
        <i val="true"/>
        <sz val="9"/>
        <color rgb="FF666666"/>
        <rFont val="Noto Sans CJK SC"/>
        <family val="2"/>
      </rPr>
      <t xml:space="preserve">已預填演算法逐步求解結果；</t>
    </r>
    <r>
      <rPr>
        <i val="true"/>
        <sz val="9"/>
        <color rgb="FF666666"/>
        <rFont val="Arial"/>
        <family val="0"/>
        <charset val="1"/>
      </rPr>
      <t xml:space="preserve">I</t>
    </r>
    <r>
      <rPr>
        <i val="true"/>
        <sz val="9"/>
        <color rgb="FF666666"/>
        <rFont val="Noto Sans CJK SC"/>
        <family val="2"/>
      </rPr>
      <t xml:space="preserve">欄目前工時</t>
    </r>
    <r>
      <rPr>
        <i val="true"/>
        <sz val="9"/>
        <color rgb="FF666666"/>
        <rFont val="Arial"/>
        <family val="0"/>
        <charset val="1"/>
      </rPr>
      <t xml:space="preserve">=</t>
    </r>
    <r>
      <rPr>
        <i val="true"/>
        <sz val="9"/>
        <color rgb="FF666666"/>
        <rFont val="Noto Sans CJK SC"/>
        <family val="2"/>
      </rPr>
      <t xml:space="preserve">正常工時</t>
    </r>
    <r>
      <rPr>
        <i val="true"/>
        <sz val="9"/>
        <color rgb="FF666666"/>
        <rFont val="Arial"/>
        <family val="0"/>
        <charset val="1"/>
      </rPr>
      <t xml:space="preserve">-</t>
    </r>
    <r>
      <rPr>
        <i val="true"/>
        <sz val="9"/>
        <color rgb="FF666666"/>
        <rFont val="Noto Sans CJK SC"/>
        <family val="2"/>
      </rPr>
      <t xml:space="preserve">已壓縮；</t>
    </r>
    <r>
      <rPr>
        <i val="true"/>
        <sz val="9"/>
        <color rgb="FF666666"/>
        <rFont val="Arial"/>
        <family val="0"/>
        <charset val="1"/>
      </rPr>
      <t xml:space="preserve">J:R</t>
    </r>
    <r>
      <rPr>
        <i val="true"/>
        <sz val="9"/>
        <color rgb="FF666666"/>
        <rFont val="Noto Sans CJK SC"/>
        <family val="2"/>
      </rPr>
      <t xml:space="preserve">欄以</t>
    </r>
    <r>
      <rPr>
        <i val="true"/>
        <sz val="9"/>
        <color rgb="FF666666"/>
        <rFont val="Arial"/>
        <family val="0"/>
        <charset val="1"/>
      </rPr>
      <t xml:space="preserve">I</t>
    </r>
    <r>
      <rPr>
        <i val="true"/>
        <sz val="9"/>
        <color rgb="FF666666"/>
        <rFont val="Noto Sans CJK SC"/>
        <family val="2"/>
      </rPr>
      <t xml:space="preserve">欄重新執行</t>
    </r>
    <r>
      <rPr>
        <i val="true"/>
        <sz val="9"/>
        <color rgb="FF666666"/>
        <rFont val="Arial"/>
        <family val="0"/>
        <charset val="1"/>
      </rPr>
      <t xml:space="preserve">CPM</t>
    </r>
    <r>
      <rPr>
        <i val="true"/>
        <sz val="9"/>
        <color rgb="FF666666"/>
        <rFont val="Noto Sans CJK SC"/>
        <family val="2"/>
      </rPr>
      <t xml:space="preserve">。</t>
    </r>
  </si>
  <si>
    <t xml:space="preserve">正常工時</t>
  </si>
  <si>
    <t xml:space="preserve">正常成本</t>
  </si>
  <si>
    <t xml:space="preserve">趕工工時</t>
  </si>
  <si>
    <t xml:space="preserve">趕工成本</t>
  </si>
  <si>
    <t xml:space="preserve">成本斜率</t>
  </si>
  <si>
    <t xml:space="preserve">最大可壓縮</t>
  </si>
  <si>
    <t xml:space="preserve">已壓縮天數</t>
  </si>
  <si>
    <t xml:space="preserve">目前工時</t>
  </si>
  <si>
    <t xml:space="preserve">Slack</t>
  </si>
  <si>
    <t xml:space="preserve">目前專案工期</t>
  </si>
  <si>
    <t xml:space="preserve">累計增加成本</t>
  </si>
  <si>
    <r>
      <rPr>
        <b val="true"/>
        <sz val="11"/>
        <color rgb="FF000000"/>
        <rFont val="Noto Sans CJK SC"/>
        <family val="2"/>
      </rPr>
      <t xml:space="preserve">總成本</t>
    </r>
    <r>
      <rPr>
        <b val="true"/>
        <sz val="11"/>
        <color rgb="FF000000"/>
        <rFont val="Arial"/>
        <family val="0"/>
        <charset val="1"/>
      </rPr>
      <t xml:space="preserve">(</t>
    </r>
    <r>
      <rPr>
        <b val="true"/>
        <sz val="11"/>
        <color rgb="FF000000"/>
        <rFont val="Noto Sans CJK SC"/>
        <family val="2"/>
      </rPr>
      <t xml:space="preserve">正常成本</t>
    </r>
    <r>
      <rPr>
        <b val="true"/>
        <sz val="11"/>
        <color rgb="FF000000"/>
        <rFont val="Arial"/>
        <family val="0"/>
        <charset val="1"/>
      </rPr>
      <t xml:space="preserve">+</t>
    </r>
    <r>
      <rPr>
        <b val="true"/>
        <sz val="11"/>
        <color rgb="FF000000"/>
        <rFont val="Noto Sans CJK SC"/>
        <family val="2"/>
      </rPr>
      <t xml:space="preserve">增加成本</t>
    </r>
    <r>
      <rPr>
        <b val="true"/>
        <sz val="11"/>
        <color rgb="FF000000"/>
        <rFont val="Arial"/>
        <family val="0"/>
        <charset val="1"/>
      </rPr>
      <t xml:space="preserve">)</t>
    </r>
  </si>
  <si>
    <r>
      <rPr>
        <b val="true"/>
        <sz val="14"/>
        <rFont val="Noto Sans CJK SC"/>
        <family val="2"/>
      </rPr>
      <t xml:space="preserve">延伸練習一：演訓籌備專案 </t>
    </r>
    <r>
      <rPr>
        <b val="true"/>
        <sz val="14"/>
        <rFont val="Arial"/>
        <family val="0"/>
        <charset val="1"/>
      </rPr>
      <t xml:space="preserve">CPM/PERT</t>
    </r>
  </si>
  <si>
    <r>
      <rPr>
        <i val="true"/>
        <sz val="9"/>
        <color rgb="FF666666"/>
        <rFont val="Noto Sans CJK SC"/>
        <family val="2"/>
      </rPr>
      <t xml:space="preserve">說明：計算</t>
    </r>
    <r>
      <rPr>
        <i val="true"/>
        <sz val="9"/>
        <color rgb="FF666666"/>
        <rFont val="Arial"/>
        <family val="0"/>
        <charset val="1"/>
      </rPr>
      <t xml:space="preserve">ES/EF/LF/LS/</t>
    </r>
    <r>
      <rPr>
        <i val="true"/>
        <sz val="9"/>
        <color rgb="FF666666"/>
        <rFont val="Noto Sans CJK SC"/>
        <family val="2"/>
      </rPr>
      <t xml:space="preserve">浮時與關鍵路徑，並延伸</t>
    </r>
    <r>
      <rPr>
        <i val="true"/>
        <sz val="9"/>
        <color rgb="FF666666"/>
        <rFont val="Arial"/>
        <family val="0"/>
        <charset val="1"/>
      </rPr>
      <t xml:space="preserve">PERT</t>
    </r>
    <r>
      <rPr>
        <i val="true"/>
        <sz val="9"/>
        <color rgb="FF666666"/>
        <rFont val="Noto Sans CJK SC"/>
        <family val="2"/>
      </rPr>
      <t xml:space="preserve">完工機率。</t>
    </r>
  </si>
  <si>
    <t xml:space="preserve">D,E</t>
  </si>
  <si>
    <r>
      <rPr>
        <b val="true"/>
        <sz val="14"/>
        <rFont val="Noto Sans CJK SC"/>
        <family val="2"/>
      </rPr>
      <t xml:space="preserve">延伸練習二：時程壓縮分析（小型專案，壓縮</t>
    </r>
    <r>
      <rPr>
        <b val="true"/>
        <sz val="14"/>
        <rFont val="Arial"/>
        <family val="0"/>
        <charset val="1"/>
      </rPr>
      <t xml:space="preserve">3</t>
    </r>
    <r>
      <rPr>
        <b val="true"/>
        <sz val="14"/>
        <rFont val="Noto Sans CJK SC"/>
        <family val="2"/>
      </rPr>
      <t xml:space="preserve">天）</t>
    </r>
  </si>
  <si>
    <r>
      <rPr>
        <i val="true"/>
        <sz val="9"/>
        <color rgb="FF666666"/>
        <rFont val="Noto Sans CJK SC"/>
        <family val="2"/>
      </rPr>
      <t xml:space="preserve">說明：</t>
    </r>
    <r>
      <rPr>
        <i val="true"/>
        <sz val="9"/>
        <color rgb="FF666666"/>
        <rFont val="Arial"/>
        <family val="0"/>
        <charset val="1"/>
      </rPr>
      <t xml:space="preserve">H</t>
    </r>
    <r>
      <rPr>
        <i val="true"/>
        <sz val="9"/>
        <color rgb="FF666666"/>
        <rFont val="Noto Sans CJK SC"/>
        <family val="2"/>
      </rPr>
      <t xml:space="preserve">欄</t>
    </r>
    <r>
      <rPr>
        <i val="true"/>
        <sz val="9"/>
        <color rgb="FF666666"/>
        <rFont val="Arial"/>
        <family val="0"/>
        <charset val="1"/>
      </rPr>
      <t xml:space="preserve">(</t>
    </r>
    <r>
      <rPr>
        <i val="true"/>
        <sz val="9"/>
        <color rgb="FF666666"/>
        <rFont val="Noto Sans CJK SC"/>
        <family val="2"/>
      </rPr>
      <t xml:space="preserve">已壓縮天數</t>
    </r>
    <r>
      <rPr>
        <i val="true"/>
        <sz val="9"/>
        <color rgb="FF666666"/>
        <rFont val="Arial"/>
        <family val="0"/>
        <charset val="1"/>
      </rPr>
      <t xml:space="preserve">)</t>
    </r>
    <r>
      <rPr>
        <i val="true"/>
        <sz val="9"/>
        <color rgb="FF666666"/>
        <rFont val="Noto Sans CJK SC"/>
        <family val="2"/>
      </rPr>
      <t xml:space="preserve">已預填演算法逐步求解結果；</t>
    </r>
    <r>
      <rPr>
        <i val="true"/>
        <sz val="9"/>
        <color rgb="FF666666"/>
        <rFont val="Arial"/>
        <family val="0"/>
        <charset val="1"/>
      </rPr>
      <t xml:space="preserve">I</t>
    </r>
    <r>
      <rPr>
        <i val="true"/>
        <sz val="9"/>
        <color rgb="FF666666"/>
        <rFont val="Noto Sans CJK SC"/>
        <family val="2"/>
      </rPr>
      <t xml:space="preserve">欄目前工時；</t>
    </r>
    <r>
      <rPr>
        <i val="true"/>
        <sz val="9"/>
        <color rgb="FF666666"/>
        <rFont val="Arial"/>
        <family val="0"/>
        <charset val="1"/>
      </rPr>
      <t xml:space="preserve">J:O</t>
    </r>
    <r>
      <rPr>
        <i val="true"/>
        <sz val="9"/>
        <color rgb="FF666666"/>
        <rFont val="Noto Sans CJK SC"/>
        <family val="2"/>
      </rPr>
      <t xml:space="preserve">欄以</t>
    </r>
    <r>
      <rPr>
        <i val="true"/>
        <sz val="9"/>
        <color rgb="FF666666"/>
        <rFont val="Arial"/>
        <family val="0"/>
        <charset val="1"/>
      </rPr>
      <t xml:space="preserve">I</t>
    </r>
    <r>
      <rPr>
        <i val="true"/>
        <sz val="9"/>
        <color rgb="FF666666"/>
        <rFont val="Noto Sans CJK SC"/>
        <family val="2"/>
      </rPr>
      <t xml:space="preserve">欄重新執行</t>
    </r>
    <r>
      <rPr>
        <i val="true"/>
        <sz val="9"/>
        <color rgb="FF666666"/>
        <rFont val="Arial"/>
        <family val="0"/>
        <charset val="1"/>
      </rPr>
      <t xml:space="preserve">CPM</t>
    </r>
    <r>
      <rPr>
        <i val="true"/>
        <sz val="9"/>
        <color rgb="FF666666"/>
        <rFont val="Noto Sans CJK SC"/>
        <family val="2"/>
      </rPr>
      <t xml:space="preserve">。</t>
    </r>
  </si>
  <si>
    <t xml:space="preserve">總成本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</si>
</sst>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i val="true"/>
      <sz val="9"/>
      <color rgb="FF666666"/>
      <name val="Noto Sans CJK SC"/>
      <family val="2"/>
    </font>
    <font>
      <b val="true"/>
      <sz val="11"/>
      <color rgb="FFFFFFFF"/>
      <name val="Noto Sans CJK SC"/>
      <family val="2"/>
    </font>
    <font>
      <sz val="11"/>
      <color theme="1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Noto Sans CJK SC"/>
      <family val="2"/>
    </font>
    <font>
      <b val="true"/>
      <sz val="11"/>
      <color rgb="FF000000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目標日期 vs. 完工機率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02_PERT完工機率計算機!C20</c:f>
              <c:strCache>
                <c:ptCount val="1"/>
                <c:pt idx="0">
                  <c:v>完工機率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02_PERT完工機率計算機!$A$21:$A$31</c:f>
              <c:strCache>
                <c:ptCount val="11"/>
                <c:pt idx="0">
                  <c:v>37</c:v>
                </c:pt>
                <c:pt idx="1">
                  <c:v>39</c:v>
                </c:pt>
                <c:pt idx="2">
                  <c:v>40</c:v>
                </c:pt>
                <c:pt idx="3">
                  <c:v>41</c:v>
                </c:pt>
                <c:pt idx="4">
                  <c:v>42</c:v>
                </c:pt>
                <c:pt idx="5">
                  <c:v>43</c:v>
                </c:pt>
                <c:pt idx="6">
                  <c:v>44</c:v>
                </c:pt>
                <c:pt idx="7">
                  <c:v>45</c:v>
                </c:pt>
                <c:pt idx="8">
                  <c:v>46</c:v>
                </c:pt>
                <c:pt idx="9">
                  <c:v>48</c:v>
                </c:pt>
                <c:pt idx="10">
                  <c:v>50</c:v>
                </c:pt>
              </c:strCache>
            </c:strRef>
          </c:cat>
          <c:val>
            <c:numRef>
              <c:f>02_PERT完工機率計算機!$C$21:$C$31</c:f>
              <c:numCache>
                <c:formatCode>General</c:formatCode>
                <c:ptCount val="11"/>
                <c:pt idx="0">
                  <c:v>0.0110839528764944</c:v>
                </c:pt>
                <c:pt idx="1">
                  <c:v>0.084955920865746</c:v>
                </c:pt>
                <c:pt idx="2">
                  <c:v>0.180098066693001</c:v>
                </c:pt>
                <c:pt idx="3">
                  <c:v>0.32365739219426</c:v>
                </c:pt>
                <c:pt idx="4">
                  <c:v>0.5</c:v>
                </c:pt>
                <c:pt idx="5">
                  <c:v>0.67634260780574</c:v>
                </c:pt>
                <c:pt idx="6">
                  <c:v>0.819901933306999</c:v>
                </c:pt>
                <c:pt idx="7">
                  <c:v>0.915044079134254</c:v>
                </c:pt>
                <c:pt idx="8">
                  <c:v>0.966373747869585</c:v>
                </c:pt>
                <c:pt idx="9">
                  <c:v>0.996974217855806</c:v>
                </c:pt>
                <c:pt idx="10">
                  <c:v>0.999873875488336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7769188"/>
        <c:axId val="87284905"/>
      </c:lineChart>
      <c:catAx>
        <c:axId val="6776918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目標日期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284905"/>
        <c:crosses val="autoZero"/>
        <c:auto val="1"/>
        <c:lblAlgn val="ctr"/>
        <c:lblOffset val="100"/>
        <c:noMultiLvlLbl val="0"/>
      </c:catAx>
      <c:valAx>
        <c:axId val="872849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完工機率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76918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16</xdr:row>
      <xdr:rowOff>108720</xdr:rowOff>
    </xdr:from>
    <xdr:to>
      <xdr:col>14</xdr:col>
      <xdr:colOff>18000</xdr:colOff>
      <xdr:row>29</xdr:row>
      <xdr:rowOff>78480</xdr:rowOff>
    </xdr:to>
    <xdr:graphicFrame>
      <xdr:nvGraphicFramePr>
        <xdr:cNvPr id="0" name="Chart 1"/>
        <xdr:cNvGraphicFramePr/>
      </xdr:nvGraphicFramePr>
      <xdr:xfrm>
        <a:off x="2325960" y="342900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  <col collapsed="false" customWidth="true" hidden="false" outlineLevel="0" max="3" min="3" style="0" width="55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7.15" hidden="false" customHeight="false" outlineLevel="0" collapsed="false">
      <c r="A5" s="4" t="s">
        <v>5</v>
      </c>
      <c r="B5" s="5" t="s">
        <v>6</v>
      </c>
      <c r="C5" s="6" t="s">
        <v>7</v>
      </c>
    </row>
    <row r="6" customFormat="false" ht="17.15" hidden="false" customHeight="false" outlineLevel="0" collapsed="false">
      <c r="A6" s="4" t="s">
        <v>8</v>
      </c>
      <c r="B6" s="4" t="s">
        <v>9</v>
      </c>
      <c r="C6" s="6" t="s">
        <v>10</v>
      </c>
    </row>
    <row r="7" customFormat="false" ht="17.15" hidden="false" customHeight="false" outlineLevel="0" collapsed="false">
      <c r="A7" s="4" t="s">
        <v>11</v>
      </c>
      <c r="B7" s="4" t="s">
        <v>12</v>
      </c>
      <c r="C7" s="6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7" min="4" style="0" width="7"/>
    <col collapsed="false" customWidth="true" hidden="false" outlineLevel="0" max="8" min="8" style="0" width="9"/>
    <col collapsed="false" customWidth="true" hidden="false" outlineLevel="0" max="9" min="9" style="0" width="10"/>
  </cols>
  <sheetData>
    <row r="1" customFormat="false" ht="21.6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15</v>
      </c>
    </row>
    <row r="4" customFormat="false" ht="29.85" hidden="false" customHeight="false" outlineLevel="0" collapsed="false">
      <c r="A4" s="3" t="s">
        <v>16</v>
      </c>
      <c r="B4" s="3" t="s">
        <v>17</v>
      </c>
      <c r="C4" s="3" t="s">
        <v>18</v>
      </c>
      <c r="D4" s="7" t="s">
        <v>19</v>
      </c>
      <c r="E4" s="7" t="s">
        <v>20</v>
      </c>
      <c r="F4" s="7" t="s">
        <v>21</v>
      </c>
      <c r="G4" s="7" t="s">
        <v>22</v>
      </c>
      <c r="H4" s="3" t="s">
        <v>23</v>
      </c>
      <c r="I4" s="3" t="s">
        <v>24</v>
      </c>
    </row>
    <row r="5" customFormat="false" ht="17.15" hidden="false" customHeight="false" outlineLevel="0" collapsed="false">
      <c r="A5" s="8" t="s">
        <v>25</v>
      </c>
      <c r="B5" s="9" t="n">
        <v>5</v>
      </c>
      <c r="C5" s="9"/>
      <c r="D5" s="10" t="n">
        <v>0</v>
      </c>
      <c r="E5" s="10" t="n">
        <f aca="false">D5+B5</f>
        <v>5</v>
      </c>
      <c r="F5" s="10" t="n">
        <f aca="false">MIN(G6,G7)</f>
        <v>5</v>
      </c>
      <c r="G5" s="10" t="n">
        <f aca="false">F5-B5</f>
        <v>0</v>
      </c>
      <c r="H5" s="10" t="n">
        <f aca="false">F5-E5</f>
        <v>0</v>
      </c>
      <c r="I5" s="10" t="str">
        <f aca="false">IF(H5=0,"關鍵","")</f>
        <v>關鍵</v>
      </c>
    </row>
    <row r="6" customFormat="false" ht="17.15" hidden="false" customHeight="false" outlineLevel="0" collapsed="false">
      <c r="A6" s="8" t="s">
        <v>26</v>
      </c>
      <c r="B6" s="9" t="n">
        <v>8</v>
      </c>
      <c r="C6" s="9" t="s">
        <v>25</v>
      </c>
      <c r="D6" s="10" t="n">
        <f aca="false">E5</f>
        <v>5</v>
      </c>
      <c r="E6" s="10" t="n">
        <f aca="false">D6+B6</f>
        <v>13</v>
      </c>
      <c r="F6" s="10" t="n">
        <f aca="false">MIN(G8,G9)</f>
        <v>13</v>
      </c>
      <c r="G6" s="10" t="n">
        <f aca="false">F6-B6</f>
        <v>5</v>
      </c>
      <c r="H6" s="10" t="n">
        <f aca="false">F6-E6</f>
        <v>0</v>
      </c>
      <c r="I6" s="10" t="str">
        <f aca="false">IF(H6=0,"關鍵","")</f>
        <v>關鍵</v>
      </c>
    </row>
    <row r="7" customFormat="false" ht="15" hidden="false" customHeight="false" outlineLevel="0" collapsed="false">
      <c r="A7" s="8" t="s">
        <v>27</v>
      </c>
      <c r="B7" s="9" t="n">
        <v>6</v>
      </c>
      <c r="C7" s="9" t="s">
        <v>25</v>
      </c>
      <c r="D7" s="10" t="n">
        <f aca="false">E5</f>
        <v>5</v>
      </c>
      <c r="E7" s="10" t="n">
        <f aca="false">D7+B7</f>
        <v>11</v>
      </c>
      <c r="F7" s="10" t="n">
        <f aca="false">G10</f>
        <v>21</v>
      </c>
      <c r="G7" s="10" t="n">
        <f aca="false">F7-B7</f>
        <v>15</v>
      </c>
      <c r="H7" s="10" t="n">
        <f aca="false">F7-E7</f>
        <v>10</v>
      </c>
      <c r="I7" s="10" t="str">
        <f aca="false">IF(H7=0,"關鍵","")</f>
        <v/>
      </c>
    </row>
    <row r="8" customFormat="false" ht="15" hidden="false" customHeight="false" outlineLevel="0" collapsed="false">
      <c r="A8" s="8" t="s">
        <v>28</v>
      </c>
      <c r="B8" s="9" t="n">
        <v>10</v>
      </c>
      <c r="C8" s="9" t="s">
        <v>26</v>
      </c>
      <c r="D8" s="10" t="n">
        <f aca="false">E6</f>
        <v>13</v>
      </c>
      <c r="E8" s="10" t="n">
        <f aca="false">D8+B8</f>
        <v>23</v>
      </c>
      <c r="F8" s="10" t="n">
        <f aca="false">G11</f>
        <v>25</v>
      </c>
      <c r="G8" s="10" t="n">
        <f aca="false">F8-B8</f>
        <v>15</v>
      </c>
      <c r="H8" s="10" t="n">
        <f aca="false">F8-E8</f>
        <v>2</v>
      </c>
      <c r="I8" s="10" t="str">
        <f aca="false">IF(H8=0,"關鍵","")</f>
        <v/>
      </c>
    </row>
    <row r="9" customFormat="false" ht="17.15" hidden="false" customHeight="false" outlineLevel="0" collapsed="false">
      <c r="A9" s="8" t="s">
        <v>29</v>
      </c>
      <c r="B9" s="9" t="n">
        <v>12</v>
      </c>
      <c r="C9" s="9" t="s">
        <v>26</v>
      </c>
      <c r="D9" s="10" t="n">
        <f aca="false">E6</f>
        <v>13</v>
      </c>
      <c r="E9" s="10" t="n">
        <f aca="false">D9+B9</f>
        <v>25</v>
      </c>
      <c r="F9" s="10" t="n">
        <f aca="false">G11</f>
        <v>25</v>
      </c>
      <c r="G9" s="10" t="n">
        <f aca="false">F9-B9</f>
        <v>13</v>
      </c>
      <c r="H9" s="10" t="n">
        <f aca="false">F9-E9</f>
        <v>0</v>
      </c>
      <c r="I9" s="10" t="str">
        <f aca="false">IF(H9=0,"關鍵","")</f>
        <v>關鍵</v>
      </c>
    </row>
    <row r="10" customFormat="false" ht="15" hidden="false" customHeight="false" outlineLevel="0" collapsed="false">
      <c r="A10" s="8" t="s">
        <v>30</v>
      </c>
      <c r="B10" s="9" t="n">
        <v>4</v>
      </c>
      <c r="C10" s="9" t="s">
        <v>27</v>
      </c>
      <c r="D10" s="10" t="n">
        <f aca="false">E7</f>
        <v>11</v>
      </c>
      <c r="E10" s="10" t="n">
        <f aca="false">D10+B10</f>
        <v>15</v>
      </c>
      <c r="F10" s="10" t="n">
        <f aca="false">G11</f>
        <v>25</v>
      </c>
      <c r="G10" s="10" t="n">
        <f aca="false">F10-B10</f>
        <v>21</v>
      </c>
      <c r="H10" s="10" t="n">
        <f aca="false">F10-E10</f>
        <v>10</v>
      </c>
      <c r="I10" s="10" t="str">
        <f aca="false">IF(H10=0,"關鍵","")</f>
        <v/>
      </c>
    </row>
    <row r="11" customFormat="false" ht="17.15" hidden="false" customHeight="false" outlineLevel="0" collapsed="false">
      <c r="A11" s="8" t="s">
        <v>31</v>
      </c>
      <c r="B11" s="9" t="n">
        <v>7</v>
      </c>
      <c r="C11" s="9" t="s">
        <v>32</v>
      </c>
      <c r="D11" s="10" t="n">
        <f aca="false">MAX(E8,E9,E10)</f>
        <v>25</v>
      </c>
      <c r="E11" s="10" t="n">
        <f aca="false">D11+B11</f>
        <v>32</v>
      </c>
      <c r="F11" s="10" t="n">
        <f aca="false">G12</f>
        <v>32</v>
      </c>
      <c r="G11" s="10" t="n">
        <f aca="false">F11-B11</f>
        <v>25</v>
      </c>
      <c r="H11" s="10" t="n">
        <f aca="false">F11-E11</f>
        <v>0</v>
      </c>
      <c r="I11" s="10" t="str">
        <f aca="false">IF(H11=0,"關鍵","")</f>
        <v>關鍵</v>
      </c>
    </row>
    <row r="12" customFormat="false" ht="17.15" hidden="false" customHeight="false" outlineLevel="0" collapsed="false">
      <c r="A12" s="8" t="s">
        <v>33</v>
      </c>
      <c r="B12" s="9" t="n">
        <v>6</v>
      </c>
      <c r="C12" s="9" t="s">
        <v>31</v>
      </c>
      <c r="D12" s="10" t="n">
        <f aca="false">E11</f>
        <v>32</v>
      </c>
      <c r="E12" s="10" t="n">
        <f aca="false">D12+B12</f>
        <v>38</v>
      </c>
      <c r="F12" s="10" t="n">
        <f aca="false">G13</f>
        <v>38</v>
      </c>
      <c r="G12" s="10" t="n">
        <f aca="false">F12-B12</f>
        <v>32</v>
      </c>
      <c r="H12" s="10" t="n">
        <f aca="false">F12-E12</f>
        <v>0</v>
      </c>
      <c r="I12" s="10" t="str">
        <f aca="false">IF(H12=0,"關鍵","")</f>
        <v>關鍵</v>
      </c>
    </row>
    <row r="13" customFormat="false" ht="17.15" hidden="false" customHeight="false" outlineLevel="0" collapsed="false">
      <c r="A13" s="8" t="s">
        <v>34</v>
      </c>
      <c r="B13" s="9" t="n">
        <v>3</v>
      </c>
      <c r="C13" s="9" t="s">
        <v>33</v>
      </c>
      <c r="D13" s="10" t="n">
        <f aca="false">E12</f>
        <v>38</v>
      </c>
      <c r="E13" s="10" t="n">
        <f aca="false">D13+B13</f>
        <v>41</v>
      </c>
      <c r="F13" s="10" t="n">
        <f aca="false">MAX($E$5:$E$13)</f>
        <v>41</v>
      </c>
      <c r="G13" s="10" t="n">
        <f aca="false">F13-B13</f>
        <v>38</v>
      </c>
      <c r="H13" s="10" t="n">
        <f aca="false">F13-E13</f>
        <v>0</v>
      </c>
      <c r="I13" s="10" t="str">
        <f aca="false">IF(H13=0,"關鍵","")</f>
        <v>關鍵</v>
      </c>
    </row>
    <row r="15" customFormat="false" ht="15" hidden="false" customHeight="false" outlineLevel="0" collapsed="false">
      <c r="A15" s="11" t="s">
        <v>35</v>
      </c>
      <c r="B15" s="12" t="n">
        <f aca="false">MAX(E5:E13)</f>
        <v>41</v>
      </c>
    </row>
  </sheetData>
  <conditionalFormatting sqref="A5:I13">
    <cfRule type="expression" priority="2" aboveAverage="0" equalAverage="0" bottom="0" percent="0" rank="0" text="" dxfId="0">
      <formula>$H5=0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10" min="7" style="0" width="6"/>
    <col collapsed="false" customWidth="true" hidden="false" outlineLevel="0" max="11" min="11" style="0" width="7"/>
    <col collapsed="false" customWidth="true" hidden="false" outlineLevel="0" max="12" min="12" style="0" width="9"/>
  </cols>
  <sheetData>
    <row r="1" customFormat="false" ht="21.6" hidden="false" customHeight="false" outlineLevel="0" collapsed="false">
      <c r="A1" s="1" t="s">
        <v>36</v>
      </c>
    </row>
    <row r="2" customFormat="false" ht="15" hidden="false" customHeight="false" outlineLevel="0" collapsed="false">
      <c r="A2" s="2" t="s">
        <v>37</v>
      </c>
    </row>
    <row r="4" customFormat="false" ht="29.85" hidden="false" customHeight="false" outlineLevel="0" collapsed="false">
      <c r="A4" s="3" t="s">
        <v>16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  <c r="G4" s="7" t="s">
        <v>19</v>
      </c>
      <c r="H4" s="7" t="s">
        <v>20</v>
      </c>
      <c r="I4" s="7" t="s">
        <v>21</v>
      </c>
      <c r="J4" s="7" t="s">
        <v>22</v>
      </c>
      <c r="K4" s="3" t="s">
        <v>43</v>
      </c>
      <c r="L4" s="3" t="s">
        <v>24</v>
      </c>
    </row>
    <row r="5" customFormat="false" ht="15" hidden="false" customHeight="false" outlineLevel="0" collapsed="false">
      <c r="A5" s="8" t="s">
        <v>25</v>
      </c>
      <c r="B5" s="9" t="n">
        <v>3</v>
      </c>
      <c r="C5" s="9" t="n">
        <v>5</v>
      </c>
      <c r="D5" s="9" t="n">
        <v>7</v>
      </c>
      <c r="E5" s="12" t="n">
        <f aca="false">(B5+4*C5+D5)/6</f>
        <v>5</v>
      </c>
      <c r="F5" s="12" t="n">
        <f aca="false">((D5-B5)/6)^2</f>
        <v>0.444444444444444</v>
      </c>
      <c r="G5" s="12" t="n">
        <v>0</v>
      </c>
      <c r="H5" s="12" t="n">
        <f aca="false">G5+E5</f>
        <v>5</v>
      </c>
      <c r="I5" s="12" t="n">
        <f aca="false">MIN(J6,J7)</f>
        <v>5</v>
      </c>
      <c r="J5" s="12" t="n">
        <f aca="false">I5-E5</f>
        <v>0</v>
      </c>
      <c r="K5" s="12" t="n">
        <f aca="false">I5-H5</f>
        <v>0</v>
      </c>
      <c r="L5" s="12" t="str">
        <f aca="false">IF(K5=0,"關鍵","")</f>
        <v>關鍵</v>
      </c>
    </row>
    <row r="6" customFormat="false" ht="15" hidden="false" customHeight="false" outlineLevel="0" collapsed="false">
      <c r="A6" s="8" t="s">
        <v>26</v>
      </c>
      <c r="B6" s="9" t="n">
        <v>6</v>
      </c>
      <c r="C6" s="9" t="n">
        <v>8</v>
      </c>
      <c r="D6" s="9" t="n">
        <v>12</v>
      </c>
      <c r="E6" s="12" t="n">
        <f aca="false">(B6+4*C6+D6)/6</f>
        <v>8.33333333333333</v>
      </c>
      <c r="F6" s="12" t="n">
        <f aca="false">((D6-B6)/6)^2</f>
        <v>1</v>
      </c>
      <c r="G6" s="12" t="n">
        <f aca="false">H5</f>
        <v>5</v>
      </c>
      <c r="H6" s="12" t="n">
        <f aca="false">G6+E6</f>
        <v>13.3333333333333</v>
      </c>
      <c r="I6" s="12" t="n">
        <f aca="false">MIN(J8,J9)</f>
        <v>13.3333333333333</v>
      </c>
      <c r="J6" s="12" t="n">
        <f aca="false">I6-E6</f>
        <v>5</v>
      </c>
      <c r="K6" s="12" t="n">
        <f aca="false">I6-H6</f>
        <v>0</v>
      </c>
      <c r="L6" s="12" t="str">
        <f aca="false">IF(K6=0,"關鍵","")</f>
        <v>關鍵</v>
      </c>
    </row>
    <row r="7" customFormat="false" ht="15" hidden="false" customHeight="false" outlineLevel="0" collapsed="false">
      <c r="A7" s="8" t="s">
        <v>27</v>
      </c>
      <c r="B7" s="9" t="n">
        <v>4</v>
      </c>
      <c r="C7" s="9" t="n">
        <v>6</v>
      </c>
      <c r="D7" s="9" t="n">
        <v>8</v>
      </c>
      <c r="E7" s="12" t="n">
        <f aca="false">(B7+4*C7+D7)/6</f>
        <v>6</v>
      </c>
      <c r="F7" s="12" t="n">
        <f aca="false">((D7-B7)/6)^2</f>
        <v>0.444444444444444</v>
      </c>
      <c r="G7" s="12" t="n">
        <f aca="false">H5</f>
        <v>5</v>
      </c>
      <c r="H7" s="12" t="n">
        <f aca="false">G7+E7</f>
        <v>11</v>
      </c>
      <c r="I7" s="12" t="n">
        <f aca="false">J10</f>
        <v>21.6666666666667</v>
      </c>
      <c r="J7" s="12" t="n">
        <f aca="false">I7-E7</f>
        <v>15.6666666666667</v>
      </c>
      <c r="K7" s="12" t="n">
        <f aca="false">I7-H7</f>
        <v>10.6666666666667</v>
      </c>
      <c r="L7" s="12" t="str">
        <f aca="false">IF(K7=0,"關鍵","")</f>
        <v/>
      </c>
    </row>
    <row r="8" customFormat="false" ht="15" hidden="false" customHeight="false" outlineLevel="0" collapsed="false">
      <c r="A8" s="8" t="s">
        <v>28</v>
      </c>
      <c r="B8" s="9" t="n">
        <v>7</v>
      </c>
      <c r="C8" s="9" t="n">
        <v>10</v>
      </c>
      <c r="D8" s="9" t="n">
        <v>15</v>
      </c>
      <c r="E8" s="12" t="n">
        <f aca="false">(B8+4*C8+D8)/6</f>
        <v>10.3333333333333</v>
      </c>
      <c r="F8" s="12" t="n">
        <f aca="false">((D8-B8)/6)^2</f>
        <v>1.77777777777778</v>
      </c>
      <c r="G8" s="12" t="n">
        <f aca="false">H6</f>
        <v>13.3333333333333</v>
      </c>
      <c r="H8" s="12" t="n">
        <f aca="false">G8+E8</f>
        <v>23.6666666666667</v>
      </c>
      <c r="I8" s="12" t="n">
        <f aca="false">J11</f>
        <v>25.6666666666667</v>
      </c>
      <c r="J8" s="12" t="n">
        <f aca="false">I8-E8</f>
        <v>15.3333333333333</v>
      </c>
      <c r="K8" s="12" t="n">
        <f aca="false">I8-H8</f>
        <v>2</v>
      </c>
      <c r="L8" s="12" t="str">
        <f aca="false">IF(K8=0,"關鍵","")</f>
        <v/>
      </c>
    </row>
    <row r="9" customFormat="false" ht="15" hidden="false" customHeight="false" outlineLevel="0" collapsed="false">
      <c r="A9" s="8" t="s">
        <v>29</v>
      </c>
      <c r="B9" s="9" t="n">
        <v>9</v>
      </c>
      <c r="C9" s="9" t="n">
        <v>12</v>
      </c>
      <c r="D9" s="9" t="n">
        <v>17</v>
      </c>
      <c r="E9" s="12" t="n">
        <f aca="false">(B9+4*C9+D9)/6</f>
        <v>12.3333333333333</v>
      </c>
      <c r="F9" s="12" t="n">
        <f aca="false">((D9-B9)/6)^2</f>
        <v>1.77777777777778</v>
      </c>
      <c r="G9" s="12" t="n">
        <f aca="false">H6</f>
        <v>13.3333333333333</v>
      </c>
      <c r="H9" s="12" t="n">
        <f aca="false">G9+E9</f>
        <v>25.6666666666667</v>
      </c>
      <c r="I9" s="12" t="n">
        <f aca="false">J11</f>
        <v>25.6666666666667</v>
      </c>
      <c r="J9" s="12" t="n">
        <f aca="false">I9-E9</f>
        <v>13.3333333333333</v>
      </c>
      <c r="K9" s="12" t="n">
        <f aca="false">I9-H9</f>
        <v>0</v>
      </c>
      <c r="L9" s="12" t="str">
        <f aca="false">IF(K9=0,"關鍵","")</f>
        <v>關鍵</v>
      </c>
    </row>
    <row r="10" customFormat="false" ht="15" hidden="false" customHeight="false" outlineLevel="0" collapsed="false">
      <c r="A10" s="8" t="s">
        <v>30</v>
      </c>
      <c r="B10" s="9" t="n">
        <v>2</v>
      </c>
      <c r="C10" s="9" t="n">
        <v>4</v>
      </c>
      <c r="D10" s="9" t="n">
        <v>6</v>
      </c>
      <c r="E10" s="12" t="n">
        <f aca="false">(B10+4*C10+D10)/6</f>
        <v>4</v>
      </c>
      <c r="F10" s="12" t="n">
        <f aca="false">((D10-B10)/6)^2</f>
        <v>0.444444444444444</v>
      </c>
      <c r="G10" s="12" t="n">
        <f aca="false">H7</f>
        <v>11</v>
      </c>
      <c r="H10" s="12" t="n">
        <f aca="false">G10+E10</f>
        <v>15</v>
      </c>
      <c r="I10" s="12" t="n">
        <f aca="false">J11</f>
        <v>25.6666666666667</v>
      </c>
      <c r="J10" s="12" t="n">
        <f aca="false">I10-E10</f>
        <v>21.6666666666667</v>
      </c>
      <c r="K10" s="12" t="n">
        <f aca="false">I10-H10</f>
        <v>10.6666666666667</v>
      </c>
      <c r="L10" s="12" t="str">
        <f aca="false">IF(K10=0,"關鍵","")</f>
        <v/>
      </c>
    </row>
    <row r="11" customFormat="false" ht="15" hidden="false" customHeight="false" outlineLevel="0" collapsed="false">
      <c r="A11" s="8" t="s">
        <v>31</v>
      </c>
      <c r="B11" s="9" t="n">
        <v>5</v>
      </c>
      <c r="C11" s="9" t="n">
        <v>7</v>
      </c>
      <c r="D11" s="9" t="n">
        <v>11</v>
      </c>
      <c r="E11" s="12" t="n">
        <f aca="false">(B11+4*C11+D11)/6</f>
        <v>7.33333333333333</v>
      </c>
      <c r="F11" s="12" t="n">
        <f aca="false">((D11-B11)/6)^2</f>
        <v>1</v>
      </c>
      <c r="G11" s="12" t="n">
        <f aca="false">MAX(H8,H9,H10)</f>
        <v>25.6666666666667</v>
      </c>
      <c r="H11" s="12" t="n">
        <f aca="false">G11+E11</f>
        <v>33</v>
      </c>
      <c r="I11" s="12" t="n">
        <f aca="false">J12</f>
        <v>33</v>
      </c>
      <c r="J11" s="12" t="n">
        <f aca="false">I11-E11</f>
        <v>25.6666666666667</v>
      </c>
      <c r="K11" s="12" t="n">
        <f aca="false">I11-H11</f>
        <v>0</v>
      </c>
      <c r="L11" s="12" t="str">
        <f aca="false">IF(K11=0,"關鍵","")</f>
        <v>關鍵</v>
      </c>
    </row>
    <row r="12" customFormat="false" ht="15" hidden="false" customHeight="false" outlineLevel="0" collapsed="false">
      <c r="A12" s="8" t="s">
        <v>33</v>
      </c>
      <c r="B12" s="9" t="n">
        <v>4</v>
      </c>
      <c r="C12" s="9" t="n">
        <v>6</v>
      </c>
      <c r="D12" s="9" t="n">
        <v>8</v>
      </c>
      <c r="E12" s="12" t="n">
        <f aca="false">(B12+4*C12+D12)/6</f>
        <v>6</v>
      </c>
      <c r="F12" s="12" t="n">
        <f aca="false">((D12-B12)/6)^2</f>
        <v>0.444444444444444</v>
      </c>
      <c r="G12" s="12" t="n">
        <f aca="false">H11</f>
        <v>33</v>
      </c>
      <c r="H12" s="12" t="n">
        <f aca="false">G12+E12</f>
        <v>39</v>
      </c>
      <c r="I12" s="12" t="n">
        <f aca="false">J13</f>
        <v>39</v>
      </c>
      <c r="J12" s="12" t="n">
        <f aca="false">I12-E12</f>
        <v>33</v>
      </c>
      <c r="K12" s="12" t="n">
        <f aca="false">I12-H12</f>
        <v>0</v>
      </c>
      <c r="L12" s="12" t="str">
        <f aca="false">IF(K12=0,"關鍵","")</f>
        <v>關鍵</v>
      </c>
    </row>
    <row r="13" customFormat="false" ht="15" hidden="false" customHeight="false" outlineLevel="0" collapsed="false">
      <c r="A13" s="8" t="s">
        <v>34</v>
      </c>
      <c r="B13" s="9" t="n">
        <v>2</v>
      </c>
      <c r="C13" s="9" t="n">
        <v>3</v>
      </c>
      <c r="D13" s="9" t="n">
        <v>4</v>
      </c>
      <c r="E13" s="12" t="n">
        <f aca="false">(B13+4*C13+D13)/6</f>
        <v>3</v>
      </c>
      <c r="F13" s="12" t="n">
        <f aca="false">((D13-B13)/6)^2</f>
        <v>0.111111111111111</v>
      </c>
      <c r="G13" s="12" t="n">
        <f aca="false">H12</f>
        <v>39</v>
      </c>
      <c r="H13" s="12" t="n">
        <f aca="false">G13+E13</f>
        <v>42</v>
      </c>
      <c r="I13" s="12" t="n">
        <f aca="false">MAX($H$5:$H$13)</f>
        <v>42</v>
      </c>
      <c r="J13" s="12" t="n">
        <f aca="false">I13-E13</f>
        <v>39</v>
      </c>
      <c r="K13" s="12" t="n">
        <f aca="false">I13-H13</f>
        <v>0</v>
      </c>
      <c r="L13" s="12" t="str">
        <f aca="false">IF(K13=0,"關鍵","")</f>
        <v>關鍵</v>
      </c>
    </row>
    <row r="15" customFormat="false" ht="15" hidden="false" customHeight="false" outlineLevel="0" collapsed="false">
      <c r="A15" s="11" t="s">
        <v>44</v>
      </c>
      <c r="B15" s="12" t="n">
        <f aca="false">MAX(H5:H13)</f>
        <v>42</v>
      </c>
    </row>
    <row r="16" customFormat="false" ht="15" hidden="false" customHeight="false" outlineLevel="0" collapsed="false">
      <c r="A16" s="11" t="s">
        <v>45</v>
      </c>
      <c r="B16" s="12" t="n">
        <f aca="false">SUMIF(L5:L13,"關鍵",F5:F13)</f>
        <v>4.77777777777778</v>
      </c>
    </row>
    <row r="17" customFormat="false" ht="15" hidden="false" customHeight="false" outlineLevel="0" collapsed="false">
      <c r="A17" s="11" t="s">
        <v>46</v>
      </c>
      <c r="B17" s="12" t="n">
        <f aca="false">SQRT(B16)</f>
        <v>2.185812841434</v>
      </c>
    </row>
    <row r="19" customFormat="false" ht="17.15" hidden="false" customHeight="false" outlineLevel="0" collapsed="false">
      <c r="A19" s="11" t="s">
        <v>47</v>
      </c>
    </row>
    <row r="20" customFormat="false" ht="32.8" hidden="false" customHeight="false" outlineLevel="0" collapsed="false">
      <c r="A20" s="3" t="s">
        <v>48</v>
      </c>
      <c r="B20" s="7" t="s">
        <v>49</v>
      </c>
      <c r="C20" s="3" t="s">
        <v>50</v>
      </c>
    </row>
    <row r="21" customFormat="false" ht="15" hidden="false" customHeight="false" outlineLevel="0" collapsed="false">
      <c r="A21" s="9" t="n">
        <v>37</v>
      </c>
      <c r="B21" s="12" t="n">
        <f aca="false">(A21-$B$15)/$B$17</f>
        <v>-2.28747855498907</v>
      </c>
      <c r="C21" s="12" t="n">
        <f aca="false">NORMSDIST(B21)</f>
        <v>0.0110839528764944</v>
      </c>
    </row>
    <row r="22" customFormat="false" ht="15" hidden="false" customHeight="false" outlineLevel="0" collapsed="false">
      <c r="A22" s="9" t="n">
        <v>39</v>
      </c>
      <c r="B22" s="12" t="n">
        <f aca="false">(A22-$B$15)/$B$17</f>
        <v>-1.37248713299344</v>
      </c>
      <c r="C22" s="12" t="n">
        <f aca="false">NORMSDIST(B22)</f>
        <v>0.084955920865746</v>
      </c>
    </row>
    <row r="23" customFormat="false" ht="15" hidden="false" customHeight="false" outlineLevel="0" collapsed="false">
      <c r="A23" s="9" t="n">
        <v>40</v>
      </c>
      <c r="B23" s="12" t="n">
        <f aca="false">(A23-$B$15)/$B$17</f>
        <v>-0.914991421995628</v>
      </c>
      <c r="C23" s="12" t="n">
        <f aca="false">NORMSDIST(B23)</f>
        <v>0.180098066693001</v>
      </c>
    </row>
    <row r="24" customFormat="false" ht="15" hidden="false" customHeight="false" outlineLevel="0" collapsed="false">
      <c r="A24" s="9" t="n">
        <v>41</v>
      </c>
      <c r="B24" s="12" t="n">
        <f aca="false">(A24-$B$15)/$B$17</f>
        <v>-0.457495710997814</v>
      </c>
      <c r="C24" s="12" t="n">
        <f aca="false">NORMSDIST(B24)</f>
        <v>0.32365739219426</v>
      </c>
    </row>
    <row r="25" customFormat="false" ht="15" hidden="false" customHeight="false" outlineLevel="0" collapsed="false">
      <c r="A25" s="9" t="n">
        <v>42</v>
      </c>
      <c r="B25" s="12" t="n">
        <f aca="false">(A25-$B$15)/$B$17</f>
        <v>0</v>
      </c>
      <c r="C25" s="12" t="n">
        <f aca="false">NORMSDIST(B25)</f>
        <v>0.5</v>
      </c>
    </row>
    <row r="26" customFormat="false" ht="15" hidden="false" customHeight="false" outlineLevel="0" collapsed="false">
      <c r="A26" s="9" t="n">
        <v>43</v>
      </c>
      <c r="B26" s="12" t="n">
        <f aca="false">(A26-$B$15)/$B$17</f>
        <v>0.457495710997814</v>
      </c>
      <c r="C26" s="12" t="n">
        <f aca="false">NORMSDIST(B26)</f>
        <v>0.67634260780574</v>
      </c>
    </row>
    <row r="27" customFormat="false" ht="15" hidden="false" customHeight="false" outlineLevel="0" collapsed="false">
      <c r="A27" s="9" t="n">
        <v>44</v>
      </c>
      <c r="B27" s="12" t="n">
        <f aca="false">(A27-$B$15)/$B$17</f>
        <v>0.914991421995628</v>
      </c>
      <c r="C27" s="12" t="n">
        <f aca="false">NORMSDIST(B27)</f>
        <v>0.819901933306999</v>
      </c>
    </row>
    <row r="28" customFormat="false" ht="15" hidden="false" customHeight="false" outlineLevel="0" collapsed="false">
      <c r="A28" s="9" t="n">
        <v>45</v>
      </c>
      <c r="B28" s="12" t="n">
        <f aca="false">(A28-$B$15)/$B$17</f>
        <v>1.37248713299344</v>
      </c>
      <c r="C28" s="12" t="n">
        <f aca="false">NORMSDIST(B28)</f>
        <v>0.915044079134254</v>
      </c>
    </row>
    <row r="29" customFormat="false" ht="15" hidden="false" customHeight="false" outlineLevel="0" collapsed="false">
      <c r="A29" s="9" t="n">
        <v>46</v>
      </c>
      <c r="B29" s="12" t="n">
        <f aca="false">(A29-$B$15)/$B$17</f>
        <v>1.82998284399126</v>
      </c>
      <c r="C29" s="12" t="n">
        <f aca="false">NORMSDIST(B29)</f>
        <v>0.966373747869585</v>
      </c>
    </row>
    <row r="30" customFormat="false" ht="15" hidden="false" customHeight="false" outlineLevel="0" collapsed="false">
      <c r="A30" s="9" t="n">
        <v>48</v>
      </c>
      <c r="B30" s="12" t="n">
        <f aca="false">(A30-$B$15)/$B$17</f>
        <v>2.74497426598688</v>
      </c>
      <c r="C30" s="12" t="n">
        <f aca="false">NORMSDIST(B30)</f>
        <v>0.996974217855806</v>
      </c>
    </row>
    <row r="31" customFormat="false" ht="15" hidden="false" customHeight="false" outlineLevel="0" collapsed="false">
      <c r="A31" s="9" t="n">
        <v>50</v>
      </c>
      <c r="B31" s="12" t="n">
        <f aca="false">(A31-$B$15)/$B$17</f>
        <v>3.65996568798251</v>
      </c>
      <c r="C31" s="12" t="n">
        <f aca="false">NORMSDIST(B31)</f>
        <v>0.999873875488336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5" min="2" style="0" width="10"/>
    <col collapsed="false" customWidth="true" hidden="false" outlineLevel="0" max="9" min="6" style="0" width="9"/>
    <col collapsed="false" customWidth="true" hidden="false" outlineLevel="0" max="13" min="10" style="0" width="6"/>
    <col collapsed="false" customWidth="true" hidden="false" outlineLevel="0" max="14" min="14" style="0" width="7"/>
    <col collapsed="false" customWidth="true" hidden="false" outlineLevel="0" max="15" min="15" style="0" width="9"/>
  </cols>
  <sheetData>
    <row r="1" customFormat="false" ht="21.6" hidden="false" customHeight="false" outlineLevel="0" collapsed="false">
      <c r="A1" s="1" t="s">
        <v>51</v>
      </c>
    </row>
    <row r="2" customFormat="false" ht="15" hidden="false" customHeight="false" outlineLevel="0" collapsed="false">
      <c r="A2" s="2" t="s">
        <v>52</v>
      </c>
    </row>
    <row r="4" customFormat="false" ht="32.8" hidden="false" customHeight="false" outlineLevel="0" collapsed="false">
      <c r="A4" s="3" t="s">
        <v>16</v>
      </c>
      <c r="B4" s="3" t="s">
        <v>53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58</v>
      </c>
      <c r="H4" s="3" t="s">
        <v>59</v>
      </c>
      <c r="I4" s="3" t="s">
        <v>60</v>
      </c>
      <c r="J4" s="7" t="s">
        <v>19</v>
      </c>
      <c r="K4" s="7" t="s">
        <v>20</v>
      </c>
      <c r="L4" s="7" t="s">
        <v>21</v>
      </c>
      <c r="M4" s="7" t="s">
        <v>22</v>
      </c>
      <c r="N4" s="7" t="s">
        <v>61</v>
      </c>
      <c r="O4" s="3" t="s">
        <v>24</v>
      </c>
    </row>
    <row r="5" customFormat="false" ht="15" hidden="false" customHeight="false" outlineLevel="0" collapsed="false">
      <c r="A5" s="8" t="s">
        <v>25</v>
      </c>
      <c r="B5" s="9" t="n">
        <v>5</v>
      </c>
      <c r="C5" s="9" t="n">
        <v>3000</v>
      </c>
      <c r="D5" s="9" t="n">
        <v>3</v>
      </c>
      <c r="E5" s="9" t="n">
        <v>4200</v>
      </c>
      <c r="F5" s="12" t="n">
        <f aca="false">(E5-C5)/(B5-D5)</f>
        <v>600</v>
      </c>
      <c r="G5" s="12" t="n">
        <f aca="false">B5-D5</f>
        <v>2</v>
      </c>
      <c r="H5" s="9" t="n">
        <v>2</v>
      </c>
      <c r="I5" s="12" t="n">
        <f aca="false">B5-H5</f>
        <v>3</v>
      </c>
      <c r="J5" s="12" t="n">
        <v>0</v>
      </c>
      <c r="K5" s="12" t="n">
        <f aca="false">J5+I5</f>
        <v>3</v>
      </c>
      <c r="L5" s="12" t="n">
        <f aca="false">MIN(M6,M7)</f>
        <v>3</v>
      </c>
      <c r="M5" s="12" t="n">
        <f aca="false">L5-I5</f>
        <v>0</v>
      </c>
      <c r="N5" s="12" t="n">
        <f aca="false">L5-K5</f>
        <v>0</v>
      </c>
      <c r="O5" s="12" t="str">
        <f aca="false">IF(N5=0,"關鍵","")</f>
        <v>關鍵</v>
      </c>
    </row>
    <row r="6" customFormat="false" ht="15" hidden="false" customHeight="false" outlineLevel="0" collapsed="false">
      <c r="A6" s="8" t="s">
        <v>26</v>
      </c>
      <c r="B6" s="9" t="n">
        <v>8</v>
      </c>
      <c r="C6" s="9" t="n">
        <v>5000</v>
      </c>
      <c r="D6" s="9" t="n">
        <v>5</v>
      </c>
      <c r="E6" s="9" t="n">
        <v>7400</v>
      </c>
      <c r="F6" s="12" t="n">
        <f aca="false">(E6-C6)/(B6-D6)</f>
        <v>800</v>
      </c>
      <c r="G6" s="12" t="n">
        <f aca="false">B6-D6</f>
        <v>3</v>
      </c>
      <c r="H6" s="9" t="n">
        <v>2</v>
      </c>
      <c r="I6" s="12" t="n">
        <f aca="false">B6-H6</f>
        <v>6</v>
      </c>
      <c r="J6" s="12" t="n">
        <f aca="false">K5</f>
        <v>3</v>
      </c>
      <c r="K6" s="12" t="n">
        <f aca="false">J6+I6</f>
        <v>9</v>
      </c>
      <c r="L6" s="12" t="n">
        <f aca="false">MIN(M8,M9)</f>
        <v>9</v>
      </c>
      <c r="M6" s="12" t="n">
        <f aca="false">L6-I6</f>
        <v>3</v>
      </c>
      <c r="N6" s="12" t="n">
        <f aca="false">L6-K6</f>
        <v>0</v>
      </c>
      <c r="O6" s="12" t="str">
        <f aca="false">IF(N6=0,"關鍵","")</f>
        <v>關鍵</v>
      </c>
    </row>
    <row r="7" customFormat="false" ht="15" hidden="false" customHeight="false" outlineLevel="0" collapsed="false">
      <c r="A7" s="8" t="s">
        <v>27</v>
      </c>
      <c r="B7" s="9" t="n">
        <v>6</v>
      </c>
      <c r="C7" s="9" t="n">
        <v>2400</v>
      </c>
      <c r="D7" s="9" t="n">
        <v>4</v>
      </c>
      <c r="E7" s="9" t="n">
        <v>3200</v>
      </c>
      <c r="F7" s="12" t="n">
        <f aca="false">(E7-C7)/(B7-D7)</f>
        <v>400</v>
      </c>
      <c r="G7" s="12" t="n">
        <f aca="false">B7-D7</f>
        <v>2</v>
      </c>
      <c r="H7" s="9" t="n">
        <v>0</v>
      </c>
      <c r="I7" s="12" t="n">
        <f aca="false">B7-H7</f>
        <v>6</v>
      </c>
      <c r="J7" s="12" t="n">
        <f aca="false">K5</f>
        <v>3</v>
      </c>
      <c r="K7" s="12" t="n">
        <f aca="false">J7+I7</f>
        <v>9</v>
      </c>
      <c r="L7" s="12" t="n">
        <f aca="false">M10</f>
        <v>17</v>
      </c>
      <c r="M7" s="12" t="n">
        <f aca="false">L7-I7</f>
        <v>11</v>
      </c>
      <c r="N7" s="12" t="n">
        <f aca="false">L7-K7</f>
        <v>8</v>
      </c>
      <c r="O7" s="12" t="str">
        <f aca="false">IF(N7=0,"關鍵","")</f>
        <v/>
      </c>
    </row>
    <row r="8" customFormat="false" ht="15" hidden="false" customHeight="false" outlineLevel="0" collapsed="false">
      <c r="A8" s="8" t="s">
        <v>28</v>
      </c>
      <c r="B8" s="9" t="n">
        <v>10</v>
      </c>
      <c r="C8" s="9" t="n">
        <v>6000</v>
      </c>
      <c r="D8" s="9" t="n">
        <v>7</v>
      </c>
      <c r="E8" s="9" t="n">
        <v>8400</v>
      </c>
      <c r="F8" s="12" t="n">
        <f aca="false">(E8-C8)/(B8-D8)</f>
        <v>800</v>
      </c>
      <c r="G8" s="12" t="n">
        <f aca="false">B8-D8</f>
        <v>3</v>
      </c>
      <c r="H8" s="9" t="n">
        <v>0</v>
      </c>
      <c r="I8" s="12" t="n">
        <f aca="false">B8-H8</f>
        <v>10</v>
      </c>
      <c r="J8" s="12" t="n">
        <f aca="false">K6</f>
        <v>9</v>
      </c>
      <c r="K8" s="12" t="n">
        <f aca="false">J8+I8</f>
        <v>19</v>
      </c>
      <c r="L8" s="12" t="n">
        <f aca="false">M11</f>
        <v>21</v>
      </c>
      <c r="M8" s="12" t="n">
        <f aca="false">L8-I8</f>
        <v>11</v>
      </c>
      <c r="N8" s="12" t="n">
        <f aca="false">L8-K8</f>
        <v>2</v>
      </c>
      <c r="O8" s="12" t="str">
        <f aca="false">IF(N8=0,"關鍵","")</f>
        <v/>
      </c>
    </row>
    <row r="9" customFormat="false" ht="15" hidden="false" customHeight="false" outlineLevel="0" collapsed="false">
      <c r="A9" s="8" t="s">
        <v>29</v>
      </c>
      <c r="B9" s="9" t="n">
        <v>12</v>
      </c>
      <c r="C9" s="9" t="n">
        <v>9000</v>
      </c>
      <c r="D9" s="9" t="n">
        <v>8</v>
      </c>
      <c r="E9" s="9" t="n">
        <v>13800</v>
      </c>
      <c r="F9" s="12" t="n">
        <f aca="false">(E9-C9)/(B9-D9)</f>
        <v>1200</v>
      </c>
      <c r="G9" s="12" t="n">
        <f aca="false">B9-D9</f>
        <v>4</v>
      </c>
      <c r="H9" s="9" t="n">
        <v>0</v>
      </c>
      <c r="I9" s="12" t="n">
        <f aca="false">B9-H9</f>
        <v>12</v>
      </c>
      <c r="J9" s="12" t="n">
        <f aca="false">K6</f>
        <v>9</v>
      </c>
      <c r="K9" s="12" t="n">
        <f aca="false">J9+I9</f>
        <v>21</v>
      </c>
      <c r="L9" s="12" t="n">
        <f aca="false">M11</f>
        <v>21</v>
      </c>
      <c r="M9" s="12" t="n">
        <f aca="false">L9-I9</f>
        <v>9</v>
      </c>
      <c r="N9" s="12" t="n">
        <f aca="false">L9-K9</f>
        <v>0</v>
      </c>
      <c r="O9" s="12" t="str">
        <f aca="false">IF(N9=0,"關鍵","")</f>
        <v>關鍵</v>
      </c>
    </row>
    <row r="10" customFormat="false" ht="15" hidden="false" customHeight="false" outlineLevel="0" collapsed="false">
      <c r="A10" s="8" t="s">
        <v>30</v>
      </c>
      <c r="B10" s="9" t="n">
        <v>4</v>
      </c>
      <c r="C10" s="9" t="n">
        <v>1600</v>
      </c>
      <c r="D10" s="9" t="n">
        <v>3</v>
      </c>
      <c r="E10" s="9" t="n">
        <v>2100</v>
      </c>
      <c r="F10" s="12" t="n">
        <f aca="false">(E10-C10)/(B10-D10)</f>
        <v>500</v>
      </c>
      <c r="G10" s="12" t="n">
        <f aca="false">B10-D10</f>
        <v>1</v>
      </c>
      <c r="H10" s="9" t="n">
        <v>0</v>
      </c>
      <c r="I10" s="12" t="n">
        <f aca="false">B10-H10</f>
        <v>4</v>
      </c>
      <c r="J10" s="12" t="n">
        <f aca="false">K7</f>
        <v>9</v>
      </c>
      <c r="K10" s="12" t="n">
        <f aca="false">J10+I10</f>
        <v>13</v>
      </c>
      <c r="L10" s="12" t="n">
        <f aca="false">M11</f>
        <v>21</v>
      </c>
      <c r="M10" s="12" t="n">
        <f aca="false">L10-I10</f>
        <v>17</v>
      </c>
      <c r="N10" s="12" t="n">
        <f aca="false">L10-K10</f>
        <v>8</v>
      </c>
      <c r="O10" s="12" t="str">
        <f aca="false">IF(N10=0,"關鍵","")</f>
        <v/>
      </c>
    </row>
    <row r="11" customFormat="false" ht="15" hidden="false" customHeight="false" outlineLevel="0" collapsed="false">
      <c r="A11" s="8" t="s">
        <v>31</v>
      </c>
      <c r="B11" s="9" t="n">
        <v>7</v>
      </c>
      <c r="C11" s="9" t="n">
        <v>4900</v>
      </c>
      <c r="D11" s="9" t="n">
        <v>5</v>
      </c>
      <c r="E11" s="9" t="n">
        <v>6900</v>
      </c>
      <c r="F11" s="12" t="n">
        <f aca="false">(E11-C11)/(B11-D11)</f>
        <v>1000</v>
      </c>
      <c r="G11" s="12" t="n">
        <f aca="false">B11-D11</f>
        <v>2</v>
      </c>
      <c r="H11" s="9" t="n">
        <v>0</v>
      </c>
      <c r="I11" s="12" t="n">
        <f aca="false">B11-H11</f>
        <v>7</v>
      </c>
      <c r="J11" s="12" t="n">
        <f aca="false">MAX(K8,K9,K10)</f>
        <v>21</v>
      </c>
      <c r="K11" s="12" t="n">
        <f aca="false">J11+I11</f>
        <v>28</v>
      </c>
      <c r="L11" s="12" t="n">
        <f aca="false">M12</f>
        <v>28</v>
      </c>
      <c r="M11" s="12" t="n">
        <f aca="false">L11-I11</f>
        <v>21</v>
      </c>
      <c r="N11" s="12" t="n">
        <f aca="false">L11-K11</f>
        <v>0</v>
      </c>
      <c r="O11" s="12" t="str">
        <f aca="false">IF(N11=0,"關鍵","")</f>
        <v>關鍵</v>
      </c>
    </row>
    <row r="12" customFormat="false" ht="15" hidden="false" customHeight="false" outlineLevel="0" collapsed="false">
      <c r="A12" s="8" t="s">
        <v>33</v>
      </c>
      <c r="B12" s="9" t="n">
        <v>6</v>
      </c>
      <c r="C12" s="9" t="n">
        <v>3600</v>
      </c>
      <c r="D12" s="9" t="n">
        <v>4</v>
      </c>
      <c r="E12" s="9" t="n">
        <v>5200</v>
      </c>
      <c r="F12" s="12" t="n">
        <f aca="false">(E12-C12)/(B12-D12)</f>
        <v>800</v>
      </c>
      <c r="G12" s="12" t="n">
        <f aca="false">B12-D12</f>
        <v>2</v>
      </c>
      <c r="H12" s="9" t="n">
        <v>0</v>
      </c>
      <c r="I12" s="12" t="n">
        <f aca="false">B12-H12</f>
        <v>6</v>
      </c>
      <c r="J12" s="12" t="n">
        <f aca="false">K11</f>
        <v>28</v>
      </c>
      <c r="K12" s="12" t="n">
        <f aca="false">J12+I12</f>
        <v>34</v>
      </c>
      <c r="L12" s="12" t="n">
        <f aca="false">M13</f>
        <v>34</v>
      </c>
      <c r="M12" s="12" t="n">
        <f aca="false">L12-I12</f>
        <v>28</v>
      </c>
      <c r="N12" s="12" t="n">
        <f aca="false">L12-K12</f>
        <v>0</v>
      </c>
      <c r="O12" s="12" t="str">
        <f aca="false">IF(N12=0,"關鍵","")</f>
        <v>關鍵</v>
      </c>
    </row>
    <row r="13" customFormat="false" ht="15" hidden="false" customHeight="false" outlineLevel="0" collapsed="false">
      <c r="A13" s="8" t="s">
        <v>34</v>
      </c>
      <c r="B13" s="9" t="n">
        <v>3</v>
      </c>
      <c r="C13" s="9" t="n">
        <v>1500</v>
      </c>
      <c r="D13" s="9" t="n">
        <v>2</v>
      </c>
      <c r="E13" s="9" t="n">
        <v>2100</v>
      </c>
      <c r="F13" s="12" t="n">
        <f aca="false">(E13-C13)/(B13-D13)</f>
        <v>600</v>
      </c>
      <c r="G13" s="12" t="n">
        <f aca="false">B13-D13</f>
        <v>1</v>
      </c>
      <c r="H13" s="9" t="n">
        <v>1</v>
      </c>
      <c r="I13" s="12" t="n">
        <f aca="false">B13-H13</f>
        <v>2</v>
      </c>
      <c r="J13" s="12" t="n">
        <f aca="false">K12</f>
        <v>34</v>
      </c>
      <c r="K13" s="12" t="n">
        <f aca="false">J13+I13</f>
        <v>36</v>
      </c>
      <c r="L13" s="12" t="n">
        <f aca="false">MAX($K$5:$K$13)</f>
        <v>36</v>
      </c>
      <c r="M13" s="12" t="n">
        <f aca="false">L13-I13</f>
        <v>34</v>
      </c>
      <c r="N13" s="12" t="n">
        <f aca="false">L13-K13</f>
        <v>0</v>
      </c>
      <c r="O13" s="12" t="str">
        <f aca="false">IF(N13=0,"關鍵","")</f>
        <v>關鍵</v>
      </c>
    </row>
    <row r="15" customFormat="false" ht="15" hidden="false" customHeight="false" outlineLevel="0" collapsed="false">
      <c r="A15" s="11" t="s">
        <v>62</v>
      </c>
      <c r="B15" s="12" t="n">
        <f aca="false">MAX(K5:K13)</f>
        <v>36</v>
      </c>
    </row>
    <row r="16" customFormat="false" ht="15" hidden="false" customHeight="false" outlineLevel="0" collapsed="false">
      <c r="A16" s="11" t="s">
        <v>63</v>
      </c>
      <c r="B16" s="12" t="n">
        <f aca="false">SUMPRODUCT(F5:F13,H5:H13)</f>
        <v>3400</v>
      </c>
    </row>
    <row r="17" customFormat="false" ht="17.15" hidden="false" customHeight="false" outlineLevel="0" collapsed="false">
      <c r="A17" s="11" t="s">
        <v>64</v>
      </c>
      <c r="B17" s="12" t="n">
        <f aca="false">SUM(C5:C13)+B16</f>
        <v>40400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7" min="4" style="0" width="7"/>
    <col collapsed="false" customWidth="true" hidden="false" outlineLevel="0" max="8" min="8" style="0" width="9"/>
    <col collapsed="false" customWidth="true" hidden="false" outlineLevel="0" max="9" min="9" style="0" width="10"/>
  </cols>
  <sheetData>
    <row r="1" customFormat="false" ht="21.6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66</v>
      </c>
    </row>
    <row r="4" customFormat="false" ht="29.85" hidden="false" customHeight="false" outlineLevel="0" collapsed="false">
      <c r="A4" s="3" t="s">
        <v>16</v>
      </c>
      <c r="B4" s="3" t="s">
        <v>17</v>
      </c>
      <c r="C4" s="3" t="s">
        <v>18</v>
      </c>
      <c r="D4" s="7" t="s">
        <v>19</v>
      </c>
      <c r="E4" s="7" t="s">
        <v>20</v>
      </c>
      <c r="F4" s="7" t="s">
        <v>21</v>
      </c>
      <c r="G4" s="7" t="s">
        <v>22</v>
      </c>
      <c r="H4" s="3" t="s">
        <v>23</v>
      </c>
      <c r="I4" s="3" t="s">
        <v>24</v>
      </c>
    </row>
    <row r="5" customFormat="false" ht="15" hidden="false" customHeight="false" outlineLevel="0" collapsed="false">
      <c r="A5" s="8" t="s">
        <v>25</v>
      </c>
      <c r="B5" s="9" t="n">
        <v>4</v>
      </c>
      <c r="C5" s="9"/>
      <c r="D5" s="12" t="n">
        <v>0</v>
      </c>
      <c r="E5" s="12" t="n">
        <f aca="false">D5+B5</f>
        <v>4</v>
      </c>
      <c r="F5" s="12" t="n">
        <f aca="false">MIN(G6,G7)</f>
        <v>4</v>
      </c>
      <c r="G5" s="12" t="n">
        <f aca="false">F5-B5</f>
        <v>0</v>
      </c>
      <c r="H5" s="12" t="n">
        <f aca="false">F5-E5</f>
        <v>0</v>
      </c>
      <c r="I5" s="12" t="str">
        <f aca="false">IF(H5=0,"關鍵","")</f>
        <v>關鍵</v>
      </c>
    </row>
    <row r="6" customFormat="false" ht="15" hidden="false" customHeight="false" outlineLevel="0" collapsed="false">
      <c r="A6" s="8" t="s">
        <v>26</v>
      </c>
      <c r="B6" s="9" t="n">
        <v>6</v>
      </c>
      <c r="C6" s="9" t="s">
        <v>25</v>
      </c>
      <c r="D6" s="12" t="n">
        <f aca="false">E5</f>
        <v>4</v>
      </c>
      <c r="E6" s="12" t="n">
        <f aca="false">D6+B6</f>
        <v>10</v>
      </c>
      <c r="F6" s="12" t="n">
        <f aca="false">G8</f>
        <v>10</v>
      </c>
      <c r="G6" s="12" t="n">
        <f aca="false">F6-B6</f>
        <v>4</v>
      </c>
      <c r="H6" s="12" t="n">
        <f aca="false">F6-E6</f>
        <v>0</v>
      </c>
      <c r="I6" s="12" t="str">
        <f aca="false">IF(H6=0,"關鍵","")</f>
        <v>關鍵</v>
      </c>
    </row>
    <row r="7" customFormat="false" ht="15" hidden="false" customHeight="false" outlineLevel="0" collapsed="false">
      <c r="A7" s="8" t="s">
        <v>27</v>
      </c>
      <c r="B7" s="9" t="n">
        <v>3</v>
      </c>
      <c r="C7" s="9" t="s">
        <v>25</v>
      </c>
      <c r="D7" s="12" t="n">
        <f aca="false">E5</f>
        <v>4</v>
      </c>
      <c r="E7" s="12" t="n">
        <f aca="false">D7+B7</f>
        <v>7</v>
      </c>
      <c r="F7" s="12" t="n">
        <f aca="false">G9</f>
        <v>8</v>
      </c>
      <c r="G7" s="12" t="n">
        <f aca="false">F7-B7</f>
        <v>5</v>
      </c>
      <c r="H7" s="12" t="n">
        <f aca="false">F7-E7</f>
        <v>1</v>
      </c>
      <c r="I7" s="12" t="str">
        <f aca="false">IF(H7=0,"關鍵","")</f>
        <v/>
      </c>
    </row>
    <row r="8" customFormat="false" ht="15" hidden="false" customHeight="false" outlineLevel="0" collapsed="false">
      <c r="A8" s="8" t="s">
        <v>28</v>
      </c>
      <c r="B8" s="9" t="n">
        <v>5</v>
      </c>
      <c r="C8" s="9" t="s">
        <v>26</v>
      </c>
      <c r="D8" s="12" t="n">
        <f aca="false">E6</f>
        <v>10</v>
      </c>
      <c r="E8" s="12" t="n">
        <f aca="false">D8+B8</f>
        <v>15</v>
      </c>
      <c r="F8" s="12" t="n">
        <f aca="false">G10</f>
        <v>15</v>
      </c>
      <c r="G8" s="12" t="n">
        <f aca="false">F8-B8</f>
        <v>10</v>
      </c>
      <c r="H8" s="12" t="n">
        <f aca="false">F8-E8</f>
        <v>0</v>
      </c>
      <c r="I8" s="12" t="str">
        <f aca="false">IF(H8=0,"關鍵","")</f>
        <v>關鍵</v>
      </c>
    </row>
    <row r="9" customFormat="false" ht="15" hidden="false" customHeight="false" outlineLevel="0" collapsed="false">
      <c r="A9" s="8" t="s">
        <v>29</v>
      </c>
      <c r="B9" s="9" t="n">
        <v>7</v>
      </c>
      <c r="C9" s="9" t="s">
        <v>27</v>
      </c>
      <c r="D9" s="12" t="n">
        <f aca="false">E7</f>
        <v>7</v>
      </c>
      <c r="E9" s="12" t="n">
        <f aca="false">D9+B9</f>
        <v>14</v>
      </c>
      <c r="F9" s="12" t="n">
        <f aca="false">G10</f>
        <v>15</v>
      </c>
      <c r="G9" s="12" t="n">
        <f aca="false">F9-B9</f>
        <v>8</v>
      </c>
      <c r="H9" s="12" t="n">
        <f aca="false">F9-E9</f>
        <v>1</v>
      </c>
      <c r="I9" s="12" t="str">
        <f aca="false">IF(H9=0,"關鍵","")</f>
        <v/>
      </c>
    </row>
    <row r="10" customFormat="false" ht="15" hidden="false" customHeight="false" outlineLevel="0" collapsed="false">
      <c r="A10" s="8" t="s">
        <v>30</v>
      </c>
      <c r="B10" s="9" t="n">
        <v>4</v>
      </c>
      <c r="C10" s="9" t="s">
        <v>67</v>
      </c>
      <c r="D10" s="12" t="n">
        <f aca="false">MAX(E8,E9)</f>
        <v>15</v>
      </c>
      <c r="E10" s="12" t="n">
        <f aca="false">D10+B10</f>
        <v>19</v>
      </c>
      <c r="F10" s="12" t="n">
        <f aca="false">G11</f>
        <v>19</v>
      </c>
      <c r="G10" s="12" t="n">
        <f aca="false">F10-B10</f>
        <v>15</v>
      </c>
      <c r="H10" s="12" t="n">
        <f aca="false">F10-E10</f>
        <v>0</v>
      </c>
      <c r="I10" s="12" t="str">
        <f aca="false">IF(H10=0,"關鍵","")</f>
        <v>關鍵</v>
      </c>
    </row>
    <row r="11" customFormat="false" ht="15" hidden="false" customHeight="false" outlineLevel="0" collapsed="false">
      <c r="A11" s="8" t="s">
        <v>31</v>
      </c>
      <c r="B11" s="9" t="n">
        <v>2</v>
      </c>
      <c r="C11" s="9" t="s">
        <v>30</v>
      </c>
      <c r="D11" s="12" t="n">
        <f aca="false">E10</f>
        <v>19</v>
      </c>
      <c r="E11" s="12" t="n">
        <f aca="false">D11+B11</f>
        <v>21</v>
      </c>
      <c r="F11" s="12" t="n">
        <f aca="false">MAX($E$5:$E$11)</f>
        <v>21</v>
      </c>
      <c r="G11" s="12" t="n">
        <f aca="false">F11-B11</f>
        <v>19</v>
      </c>
      <c r="H11" s="12" t="n">
        <f aca="false">F11-E11</f>
        <v>0</v>
      </c>
      <c r="I11" s="12" t="str">
        <f aca="false">IF(H11=0,"關鍵","")</f>
        <v>關鍵</v>
      </c>
    </row>
    <row r="13" customFormat="false" ht="15" hidden="false" customHeight="false" outlineLevel="0" collapsed="false">
      <c r="A13" s="11" t="s">
        <v>35</v>
      </c>
      <c r="B13" s="12" t="n">
        <f aca="false">MAX(E5:E11)</f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5" min="2" style="0" width="10"/>
    <col collapsed="false" customWidth="true" hidden="false" outlineLevel="0" max="9" min="6" style="0" width="9"/>
    <col collapsed="false" customWidth="true" hidden="false" outlineLevel="0" max="13" min="10" style="0" width="6"/>
    <col collapsed="false" customWidth="true" hidden="false" outlineLevel="0" max="14" min="14" style="0" width="7"/>
    <col collapsed="false" customWidth="true" hidden="false" outlineLevel="0" max="15" min="15" style="0" width="9"/>
  </cols>
  <sheetData>
    <row r="1" customFormat="false" ht="21.6" hidden="false" customHeight="false" outlineLevel="0" collapsed="false">
      <c r="A1" s="1" t="s">
        <v>68</v>
      </c>
    </row>
    <row r="2" customFormat="false" ht="15" hidden="false" customHeight="false" outlineLevel="0" collapsed="false">
      <c r="A2" s="2" t="s">
        <v>69</v>
      </c>
    </row>
    <row r="4" customFormat="false" ht="32.8" hidden="false" customHeight="false" outlineLevel="0" collapsed="false">
      <c r="A4" s="3" t="s">
        <v>16</v>
      </c>
      <c r="B4" s="3" t="s">
        <v>53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58</v>
      </c>
      <c r="H4" s="3" t="s">
        <v>59</v>
      </c>
      <c r="I4" s="3" t="s">
        <v>60</v>
      </c>
      <c r="J4" s="7" t="s">
        <v>19</v>
      </c>
      <c r="K4" s="7" t="s">
        <v>20</v>
      </c>
      <c r="L4" s="7" t="s">
        <v>21</v>
      </c>
      <c r="M4" s="7" t="s">
        <v>22</v>
      </c>
      <c r="N4" s="7" t="s">
        <v>61</v>
      </c>
      <c r="O4" s="3" t="s">
        <v>24</v>
      </c>
    </row>
    <row r="5" customFormat="false" ht="15" hidden="false" customHeight="false" outlineLevel="0" collapsed="false">
      <c r="A5" s="8" t="s">
        <v>25</v>
      </c>
      <c r="B5" s="9" t="n">
        <v>3</v>
      </c>
      <c r="C5" s="9" t="n">
        <v>2000</v>
      </c>
      <c r="D5" s="9" t="n">
        <v>2</v>
      </c>
      <c r="E5" s="9" t="n">
        <v>2800</v>
      </c>
      <c r="F5" s="12" t="n">
        <f aca="false">(E5-C5)/(B5-D5)</f>
        <v>800</v>
      </c>
      <c r="G5" s="12" t="n">
        <f aca="false">B5-D5</f>
        <v>1</v>
      </c>
      <c r="H5" s="9" t="n">
        <v>1</v>
      </c>
      <c r="I5" s="12" t="n">
        <f aca="false">B5-H5</f>
        <v>2</v>
      </c>
      <c r="J5" s="12" t="n">
        <v>0</v>
      </c>
      <c r="K5" s="12" t="n">
        <f aca="false">J5+I5</f>
        <v>2</v>
      </c>
      <c r="L5" s="12" t="n">
        <f aca="false">MIN(M6,M7)</f>
        <v>2</v>
      </c>
      <c r="M5" s="12" t="n">
        <f aca="false">L5-I5</f>
        <v>0</v>
      </c>
      <c r="N5" s="12" t="n">
        <f aca="false">L5-K5</f>
        <v>0</v>
      </c>
      <c r="O5" s="12" t="str">
        <f aca="false">IF(N5=0,"關鍵","")</f>
        <v>關鍵</v>
      </c>
    </row>
    <row r="6" customFormat="false" ht="15" hidden="false" customHeight="false" outlineLevel="0" collapsed="false">
      <c r="A6" s="8" t="s">
        <v>26</v>
      </c>
      <c r="B6" s="9" t="n">
        <v>5</v>
      </c>
      <c r="C6" s="9" t="n">
        <v>3500</v>
      </c>
      <c r="D6" s="9" t="n">
        <v>3</v>
      </c>
      <c r="E6" s="9" t="n">
        <v>5500</v>
      </c>
      <c r="F6" s="12" t="n">
        <f aca="false">(E6-C6)/(B6-D6)</f>
        <v>1000</v>
      </c>
      <c r="G6" s="12" t="n">
        <f aca="false">B6-D6</f>
        <v>2</v>
      </c>
      <c r="H6" s="9" t="n">
        <v>1</v>
      </c>
      <c r="I6" s="12" t="n">
        <f aca="false">B6-H6</f>
        <v>4</v>
      </c>
      <c r="J6" s="12" t="n">
        <f aca="false">K5</f>
        <v>2</v>
      </c>
      <c r="K6" s="12" t="n">
        <f aca="false">J6+I6</f>
        <v>6</v>
      </c>
      <c r="L6" s="12" t="n">
        <f aca="false">M8</f>
        <v>6</v>
      </c>
      <c r="M6" s="12" t="n">
        <f aca="false">L6-I6</f>
        <v>2</v>
      </c>
      <c r="N6" s="12" t="n">
        <f aca="false">L6-K6</f>
        <v>0</v>
      </c>
      <c r="O6" s="12" t="str">
        <f aca="false">IF(N6=0,"關鍵","")</f>
        <v>關鍵</v>
      </c>
    </row>
    <row r="7" customFormat="false" ht="15" hidden="false" customHeight="false" outlineLevel="0" collapsed="false">
      <c r="A7" s="8" t="s">
        <v>27</v>
      </c>
      <c r="B7" s="9" t="n">
        <v>4</v>
      </c>
      <c r="C7" s="9" t="n">
        <v>1800</v>
      </c>
      <c r="D7" s="9" t="n">
        <v>3</v>
      </c>
      <c r="E7" s="9" t="n">
        <v>2400</v>
      </c>
      <c r="F7" s="12" t="n">
        <f aca="false">(E7-C7)/(B7-D7)</f>
        <v>600</v>
      </c>
      <c r="G7" s="12" t="n">
        <f aca="false">B7-D7</f>
        <v>1</v>
      </c>
      <c r="H7" s="9" t="n">
        <v>0</v>
      </c>
      <c r="I7" s="12" t="n">
        <f aca="false">B7-H7</f>
        <v>4</v>
      </c>
      <c r="J7" s="12" t="n">
        <f aca="false">K5</f>
        <v>2</v>
      </c>
      <c r="K7" s="12" t="n">
        <f aca="false">J7+I7</f>
        <v>6</v>
      </c>
      <c r="L7" s="12" t="n">
        <f aca="false">M8</f>
        <v>6</v>
      </c>
      <c r="M7" s="12" t="n">
        <f aca="false">L7-I7</f>
        <v>2</v>
      </c>
      <c r="N7" s="12" t="n">
        <f aca="false">L7-K7</f>
        <v>0</v>
      </c>
      <c r="O7" s="12" t="str">
        <f aca="false">IF(N7=0,"關鍵","")</f>
        <v>關鍵</v>
      </c>
    </row>
    <row r="8" customFormat="false" ht="15" hidden="false" customHeight="false" outlineLevel="0" collapsed="false">
      <c r="A8" s="8" t="s">
        <v>28</v>
      </c>
      <c r="B8" s="9" t="n">
        <v>6</v>
      </c>
      <c r="C8" s="9" t="n">
        <v>4200</v>
      </c>
      <c r="D8" s="9" t="n">
        <v>4</v>
      </c>
      <c r="E8" s="9" t="n">
        <v>6600</v>
      </c>
      <c r="F8" s="12" t="n">
        <f aca="false">(E8-C8)/(B8-D8)</f>
        <v>1200</v>
      </c>
      <c r="G8" s="12" t="n">
        <f aca="false">B8-D8</f>
        <v>2</v>
      </c>
      <c r="H8" s="9" t="n">
        <v>0</v>
      </c>
      <c r="I8" s="12" t="n">
        <f aca="false">B8-H8</f>
        <v>6</v>
      </c>
      <c r="J8" s="12" t="n">
        <f aca="false">MAX(K6,K7)</f>
        <v>6</v>
      </c>
      <c r="K8" s="12" t="n">
        <f aca="false">J8+I8</f>
        <v>12</v>
      </c>
      <c r="L8" s="12" t="n">
        <f aca="false">M9</f>
        <v>12</v>
      </c>
      <c r="M8" s="12" t="n">
        <f aca="false">L8-I8</f>
        <v>6</v>
      </c>
      <c r="N8" s="12" t="n">
        <f aca="false">L8-K8</f>
        <v>0</v>
      </c>
      <c r="O8" s="12" t="str">
        <f aca="false">IF(N8=0,"關鍵","")</f>
        <v>關鍵</v>
      </c>
    </row>
    <row r="9" customFormat="false" ht="15" hidden="false" customHeight="false" outlineLevel="0" collapsed="false">
      <c r="A9" s="8" t="s">
        <v>29</v>
      </c>
      <c r="B9" s="9" t="n">
        <v>3</v>
      </c>
      <c r="C9" s="9" t="n">
        <v>1500</v>
      </c>
      <c r="D9" s="9" t="n">
        <v>2</v>
      </c>
      <c r="E9" s="9" t="n">
        <v>2100</v>
      </c>
      <c r="F9" s="12" t="n">
        <f aca="false">(E9-C9)/(B9-D9)</f>
        <v>600</v>
      </c>
      <c r="G9" s="12" t="n">
        <f aca="false">B9-D9</f>
        <v>1</v>
      </c>
      <c r="H9" s="9" t="n">
        <v>1</v>
      </c>
      <c r="I9" s="12" t="n">
        <f aca="false">B9-H9</f>
        <v>2</v>
      </c>
      <c r="J9" s="12" t="n">
        <f aca="false">K8</f>
        <v>12</v>
      </c>
      <c r="K9" s="12" t="n">
        <f aca="false">J9+I9</f>
        <v>14</v>
      </c>
      <c r="L9" s="12" t="n">
        <f aca="false">MAX($K$5:$K$9)</f>
        <v>14</v>
      </c>
      <c r="M9" s="12" t="n">
        <f aca="false">L9-I9</f>
        <v>12</v>
      </c>
      <c r="N9" s="12" t="n">
        <f aca="false">L9-K9</f>
        <v>0</v>
      </c>
      <c r="O9" s="12" t="str">
        <f aca="false">IF(N9=0,"關鍵","")</f>
        <v>關鍵</v>
      </c>
    </row>
    <row r="11" customFormat="false" ht="15" hidden="false" customHeight="false" outlineLevel="0" collapsed="false">
      <c r="A11" s="11" t="s">
        <v>62</v>
      </c>
      <c r="B11" s="12" t="n">
        <f aca="false">MAX(K5:K9)</f>
        <v>14</v>
      </c>
    </row>
    <row r="12" customFormat="false" ht="15" hidden="false" customHeight="false" outlineLevel="0" collapsed="false">
      <c r="A12" s="11" t="s">
        <v>63</v>
      </c>
      <c r="B12" s="12" t="n">
        <f aca="false">SUMPRODUCT(F5:F9,H5:H9)</f>
        <v>2400</v>
      </c>
    </row>
    <row r="13" customFormat="false" ht="15" hidden="false" customHeight="false" outlineLevel="0" collapsed="false">
      <c r="A13" s="11" t="s">
        <v>70</v>
      </c>
      <c r="B13" s="12" t="n">
        <f aca="false">SUM(C5:C9)+B12</f>
        <v>15400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2026-09-15T10:00:56Z</dcterms:created>
  <dc:creator>openpyxl</dc:creator>
  <dc:description/>
  <dc:language>en-US</dc:language>
  <cp:lastModifiedBy/>
  <dcterms:modified xsi:type="dcterms:W3CDTF">2026-09-15T10:01:01Z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